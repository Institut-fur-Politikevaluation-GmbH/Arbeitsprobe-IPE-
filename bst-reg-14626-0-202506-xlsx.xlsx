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6.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harts/chart5.xml" ContentType="application/vnd.openxmlformats-officedocument.drawingml.chart+xml"/>
  <Override PartName="/xl/charts/chart7.xml" ContentType="application/vnd.openxmlformats-officedocument.drawingml.chart+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DieseArbeitsmappe" defaultThemeVersion="202300"/>
  <xr:revisionPtr revIDLastSave="14" documentId="8_{CE785965-BA69-426C-959E-FEDE7F17BDAF}" xr6:coauthVersionLast="47" xr6:coauthVersionMax="47" xr10:uidLastSave="{8AAE54DD-E1BE-44DD-B3D5-6B5654DCCE4C}"/>
  <bookViews>
    <workbookView xWindow="-110" yWindow="-110" windowWidth="19420" windowHeight="11500" firstSheet="3" activeTab="5" xr2:uid="{A789E16D-8E8D-4B51-B139-697286DD3B18}"/>
  </bookViews>
  <sheets>
    <sheet name="Deckblatt" sheetId="1" r:id="rId1"/>
    <sheet name="Impressum" sheetId="2" r:id="rId2"/>
    <sheet name="Inhaltsverzeichnis" sheetId="3" r:id="rId3"/>
    <sheet name="Tabelle 1" sheetId="4" r:id="rId4"/>
    <sheet name="Diagramm" sheetId="5" r:id="rId5"/>
    <sheet name="Tabelle 2.1" sheetId="6" r:id="rId6"/>
    <sheet name="Tabelle 2.2" sheetId="7" r:id="rId7"/>
    <sheet name="Tabelle 2.3" sheetId="8" r:id="rId8"/>
    <sheet name="Tabelle 2.4" sheetId="9" r:id="rId9"/>
    <sheet name="Tabelle 3.1" sheetId="10" r:id="rId10"/>
    <sheet name="Tabelle 3.2" sheetId="11" r:id="rId11"/>
    <sheet name="Tabelle 3.3" sheetId="12" r:id="rId12"/>
    <sheet name="Tabelle 3.4" sheetId="13" r:id="rId13"/>
    <sheet name="Tabelle 4.1" sheetId="14" r:id="rId14"/>
    <sheet name="Tabelle 4.2" sheetId="15" r:id="rId15"/>
    <sheet name="Tabelle 4.3" sheetId="16" r:id="rId16"/>
    <sheet name="Tabelle 5.1" sheetId="17" r:id="rId17"/>
    <sheet name="Tabelle 5.2" sheetId="18" r:id="rId18"/>
    <sheet name="Tabelle 6" sheetId="19" r:id="rId19"/>
    <sheet name="Hinweis - Berufsaggregate" sheetId="20" r:id="rId20"/>
    <sheet name="Hinweis_Befristung" sheetId="21" r:id="rId21"/>
    <sheet name="Hinweis_beg_been_BV" sheetId="22" r:id="rId22"/>
    <sheet name="Hinweise_BST-Revisionen" sheetId="23" r:id="rId23"/>
    <sheet name="Hinweise_SvB_GB" sheetId="24" r:id="rId24"/>
    <sheet name="Daten_Diagramme" sheetId="25" state="hidden" r:id="rId25"/>
    <sheet name="Statistik-Infoseite" sheetId="26" r:id="rId26"/>
  </sheets>
  <definedNames>
    <definedName name="_xlnm.Print_Area" localSheetId="0">Deckblatt!$A$1:$H$59</definedName>
    <definedName name="_xlnm.Print_Area" localSheetId="4">Diagramm!$A$1:$I$46</definedName>
    <definedName name="_xlnm.Print_Area" localSheetId="19">'Hinweis - Berufsaggregate'!$A$1:$B$26</definedName>
    <definedName name="_xlnm.Print_Area" localSheetId="21">Hinweis_beg_been_BV!$A$1:$B$20</definedName>
    <definedName name="_xlnm.Print_Area" localSheetId="22">'Hinweise_BST-Revisionen'!$A$1:$B$10</definedName>
    <definedName name="_xlnm.Print_Area" localSheetId="23">Hinweise_SvB_GB!$A$1:$B$22</definedName>
    <definedName name="_xlnm.Print_Area" localSheetId="2">Inhaltsverzeichnis!$A$1:$G$50</definedName>
    <definedName name="_xlnm.Print_Area" localSheetId="3">'Tabelle 1'!$A$1:$J$62</definedName>
    <definedName name="_xlnm.Print_Area" localSheetId="5">'Tabelle 2.1'!$A$1:$J$80</definedName>
    <definedName name="_xlnm.Print_Area" localSheetId="6">'Tabelle 2.2'!$A$1:$L$87</definedName>
    <definedName name="_xlnm.Print_Area" localSheetId="7">'Tabelle 2.3'!$A$1:$J$41</definedName>
    <definedName name="_xlnm.Print_Area" localSheetId="8">'Tabelle 2.4'!$A$1:$K$91</definedName>
    <definedName name="_xlnm.Print_Area" localSheetId="9">'Tabelle 3.1'!$A$1:$J$69</definedName>
    <definedName name="_xlnm.Print_Area" localSheetId="10">'Tabelle 3.2'!$A$1:$L$54</definedName>
    <definedName name="_xlnm.Print_Area" localSheetId="11">'Tabelle 3.3'!$A$1:$J$42</definedName>
    <definedName name="_xlnm.Print_Area" localSheetId="12">'Tabelle 3.4'!$A$1:$K$91</definedName>
    <definedName name="_xlnm.Print_Area" localSheetId="13">'Tabelle 4.1'!$A$1:$L$62</definedName>
    <definedName name="_xlnm.Print_Area" localSheetId="14">'Tabelle 4.2'!$A$1:$J$42</definedName>
    <definedName name="_xlnm.Print_Area" localSheetId="15">'Tabelle 4.3'!$A$1:$K$89</definedName>
    <definedName name="_xlnm.Print_Area" localSheetId="16">'Tabelle 5.1'!$A$1:$J$42</definedName>
    <definedName name="_xlnm.Print_Area" localSheetId="17">'Tabelle 5.2'!$A$1:$K$89</definedName>
    <definedName name="_xlnm.Print_Area" localSheetId="18">'Tabelle 6'!$A$1:$M$75</definedName>
    <definedName name="_xlnm.Print_Titles" localSheetId="19">'Hinweis - Berufsaggregate'!$1:$7</definedName>
    <definedName name="_xlnm.Print_Titles" localSheetId="21">Hinweis_beg_been_BV!$1:$3</definedName>
    <definedName name="_xlnm.Print_Titles" localSheetId="23">Hinweise_SvB_GB!$1:$3</definedName>
    <definedName name="_xlnm.Print_Titles" localSheetId="6">'Tabelle 2.2'!$1:$11</definedName>
    <definedName name="_xlnm.Print_Titles" localSheetId="8">'Tabelle 2.4'!$1:$23</definedName>
    <definedName name="_xlnm.Print_Titles" localSheetId="12">'Tabelle 3.4'!$1:$23</definedName>
    <definedName name="_xlnm.Print_Titles" localSheetId="15">'Tabelle 4.3'!$1:$17</definedName>
    <definedName name="_xlnm.Print_Titles" localSheetId="17">'Tabelle 5.2'!$1:$17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6" i="25" l="1"/>
  <c r="H76" i="25"/>
  <c r="K76" i="25" s="1"/>
  <c r="G76" i="25"/>
  <c r="F76" i="25"/>
  <c r="E76" i="25"/>
  <c r="L75" i="25"/>
  <c r="H75" i="25" s="1"/>
  <c r="J75" i="25"/>
  <c r="G75" i="25"/>
  <c r="F75" i="25"/>
  <c r="E75" i="25"/>
  <c r="L74" i="25"/>
  <c r="H74" i="25" s="1"/>
  <c r="G74" i="25"/>
  <c r="F74" i="25"/>
  <c r="E74" i="25"/>
  <c r="L73" i="25"/>
  <c r="I73" i="25"/>
  <c r="H73" i="25"/>
  <c r="J73" i="25" s="1"/>
  <c r="G73" i="25"/>
  <c r="F73" i="25"/>
  <c r="E73" i="25"/>
  <c r="L72" i="25"/>
  <c r="H72" i="25" s="1"/>
  <c r="I72" i="25" s="1"/>
  <c r="K72" i="25"/>
  <c r="J72" i="25"/>
  <c r="G72" i="25"/>
  <c r="F72" i="25"/>
  <c r="E72" i="25"/>
  <c r="L71" i="25"/>
  <c r="H71" i="25"/>
  <c r="G71" i="25"/>
  <c r="F71" i="25"/>
  <c r="E71" i="25"/>
  <c r="L70" i="25"/>
  <c r="J70" i="25"/>
  <c r="H70" i="25"/>
  <c r="K70" i="25" s="1"/>
  <c r="G70" i="25"/>
  <c r="F70" i="25"/>
  <c r="E70" i="25"/>
  <c r="L69" i="25"/>
  <c r="H69" i="25" s="1"/>
  <c r="G69" i="25"/>
  <c r="F69" i="25"/>
  <c r="E69" i="25"/>
  <c r="L68" i="25"/>
  <c r="J68" i="25"/>
  <c r="H68" i="25"/>
  <c r="K68" i="25" s="1"/>
  <c r="G68" i="25"/>
  <c r="F68" i="25"/>
  <c r="E68" i="25"/>
  <c r="L67" i="25"/>
  <c r="H67" i="25"/>
  <c r="J67" i="25" s="1"/>
  <c r="G67" i="25"/>
  <c r="F67" i="25"/>
  <c r="E67" i="25"/>
  <c r="L66" i="25"/>
  <c r="H66" i="25" s="1"/>
  <c r="G66" i="25"/>
  <c r="F66" i="25"/>
  <c r="E66" i="25"/>
  <c r="L65" i="25"/>
  <c r="J65" i="25"/>
  <c r="H65" i="25"/>
  <c r="K65" i="25" s="1"/>
  <c r="G65" i="25"/>
  <c r="F65" i="25"/>
  <c r="E65" i="25"/>
  <c r="L64" i="25"/>
  <c r="H64" i="25" s="1"/>
  <c r="G64" i="25"/>
  <c r="F64" i="25"/>
  <c r="E64" i="25"/>
  <c r="L63" i="25"/>
  <c r="H63" i="25" s="1"/>
  <c r="G63" i="25"/>
  <c r="F63" i="25"/>
  <c r="E63" i="25"/>
  <c r="L62" i="25"/>
  <c r="H62" i="25"/>
  <c r="K62" i="25" s="1"/>
  <c r="G62" i="25"/>
  <c r="F62" i="25"/>
  <c r="E62" i="25"/>
  <c r="L61" i="25"/>
  <c r="J61" i="25"/>
  <c r="H61" i="25"/>
  <c r="K61" i="25" s="1"/>
  <c r="G61" i="25"/>
  <c r="F61" i="25"/>
  <c r="E61" i="25"/>
  <c r="L60" i="25"/>
  <c r="H60" i="25" s="1"/>
  <c r="G60" i="25"/>
  <c r="F60" i="25"/>
  <c r="E60" i="25"/>
  <c r="L59" i="25"/>
  <c r="J59" i="25"/>
  <c r="H59" i="25"/>
  <c r="K59" i="25" s="1"/>
  <c r="G59" i="25"/>
  <c r="F59" i="25"/>
  <c r="E59" i="25"/>
  <c r="L58" i="25"/>
  <c r="H58" i="25"/>
  <c r="I58" i="25" s="1"/>
  <c r="G58" i="25"/>
  <c r="F58" i="25"/>
  <c r="E58" i="25"/>
  <c r="L57" i="25"/>
  <c r="H57" i="25" s="1"/>
  <c r="G57" i="25"/>
  <c r="F57" i="25"/>
  <c r="E57" i="25"/>
  <c r="L56" i="25"/>
  <c r="J56" i="25"/>
  <c r="H56" i="25"/>
  <c r="K56" i="25" s="1"/>
  <c r="G56" i="25"/>
  <c r="F56" i="25"/>
  <c r="E56" i="25"/>
  <c r="L55" i="25"/>
  <c r="H55" i="25" s="1"/>
  <c r="G55" i="25"/>
  <c r="F55" i="25"/>
  <c r="E55" i="25"/>
  <c r="L54" i="25"/>
  <c r="H54" i="25" s="1"/>
  <c r="G54" i="25"/>
  <c r="F54" i="25"/>
  <c r="E54" i="25"/>
  <c r="L53" i="25"/>
  <c r="H53" i="25"/>
  <c r="K53" i="25" s="1"/>
  <c r="G53" i="25"/>
  <c r="F53" i="25"/>
  <c r="E53" i="25"/>
  <c r="L52" i="25"/>
  <c r="J52" i="25"/>
  <c r="H52" i="25"/>
  <c r="K52" i="25" s="1"/>
  <c r="G52" i="25"/>
  <c r="F52" i="25"/>
  <c r="E52" i="25"/>
  <c r="C46" i="25"/>
  <c r="G46" i="25" s="1"/>
  <c r="B46" i="25"/>
  <c r="K46" i="25" s="1"/>
  <c r="K45" i="25"/>
  <c r="H45" i="25"/>
  <c r="F45" i="25"/>
  <c r="C45" i="25"/>
  <c r="M45" i="25" s="1"/>
  <c r="B45" i="25"/>
  <c r="M44" i="25"/>
  <c r="K44" i="25"/>
  <c r="H44" i="25"/>
  <c r="F44" i="25"/>
  <c r="C44" i="25"/>
  <c r="I44" i="25" s="1"/>
  <c r="B44" i="25"/>
  <c r="M43" i="25"/>
  <c r="K43" i="25"/>
  <c r="H43" i="25"/>
  <c r="F43" i="25"/>
  <c r="C43" i="25"/>
  <c r="G43" i="25" s="1"/>
  <c r="B43" i="25"/>
  <c r="K42" i="25"/>
  <c r="H42" i="25"/>
  <c r="F42" i="25"/>
  <c r="C42" i="25"/>
  <c r="M42" i="25" s="1"/>
  <c r="B42" i="25"/>
  <c r="M41" i="25"/>
  <c r="K41" i="25"/>
  <c r="H41" i="25"/>
  <c r="F41" i="25"/>
  <c r="C41" i="25"/>
  <c r="I41" i="25" s="1"/>
  <c r="B41" i="25"/>
  <c r="K40" i="25"/>
  <c r="C40" i="25"/>
  <c r="G40" i="25" s="1"/>
  <c r="B40" i="25"/>
  <c r="H40" i="25" s="1"/>
  <c r="H39" i="25"/>
  <c r="C39" i="25"/>
  <c r="L39" i="25" s="1"/>
  <c r="B39" i="25"/>
  <c r="K39" i="25" s="1"/>
  <c r="H38" i="25"/>
  <c r="C38" i="25"/>
  <c r="I38" i="25" s="1"/>
  <c r="B38" i="25"/>
  <c r="K38" i="25" s="1"/>
  <c r="E37" i="25"/>
  <c r="D37" i="25"/>
  <c r="C36" i="25"/>
  <c r="L36" i="25" s="1"/>
  <c r="B36" i="25"/>
  <c r="F36" i="25" s="1"/>
  <c r="M35" i="25"/>
  <c r="J35" i="25"/>
  <c r="H35" i="25"/>
  <c r="E35" i="25"/>
  <c r="D35" i="25"/>
  <c r="C35" i="25"/>
  <c r="L35" i="25" s="1"/>
  <c r="B35" i="25"/>
  <c r="F35" i="25" s="1"/>
  <c r="K34" i="25"/>
  <c r="J34" i="25"/>
  <c r="H34" i="25"/>
  <c r="D34" i="25"/>
  <c r="C34" i="25"/>
  <c r="L34" i="25" s="1"/>
  <c r="B34" i="25"/>
  <c r="F34" i="25" s="1"/>
  <c r="M33" i="25"/>
  <c r="J33" i="25"/>
  <c r="H33" i="25"/>
  <c r="E33" i="25"/>
  <c r="C33" i="25"/>
  <c r="L33" i="25" s="1"/>
  <c r="B33" i="25"/>
  <c r="F33" i="25" s="1"/>
  <c r="H32" i="25"/>
  <c r="C32" i="25"/>
  <c r="L32" i="25" s="1"/>
  <c r="B32" i="25"/>
  <c r="F32" i="25" s="1"/>
  <c r="J31" i="25"/>
  <c r="C31" i="25"/>
  <c r="L31" i="25" s="1"/>
  <c r="B31" i="25"/>
  <c r="F31" i="25" s="1"/>
  <c r="M30" i="25"/>
  <c r="J30" i="25"/>
  <c r="E30" i="25"/>
  <c r="C30" i="25"/>
  <c r="L30" i="25" s="1"/>
  <c r="B30" i="25"/>
  <c r="F30" i="25" s="1"/>
  <c r="C29" i="25"/>
  <c r="L29" i="25" s="1"/>
  <c r="B29" i="25"/>
  <c r="F29" i="25" s="1"/>
  <c r="C28" i="25"/>
  <c r="L28" i="25" s="1"/>
  <c r="B28" i="25"/>
  <c r="F28" i="25" s="1"/>
  <c r="C27" i="25"/>
  <c r="L27" i="25" s="1"/>
  <c r="B27" i="25"/>
  <c r="F27" i="25" s="1"/>
  <c r="J26" i="25"/>
  <c r="H26" i="25"/>
  <c r="E26" i="25"/>
  <c r="D26" i="25"/>
  <c r="C26" i="25"/>
  <c r="L26" i="25" s="1"/>
  <c r="B26" i="25"/>
  <c r="F26" i="25" s="1"/>
  <c r="K25" i="25"/>
  <c r="J25" i="25"/>
  <c r="H25" i="25"/>
  <c r="D25" i="25"/>
  <c r="C25" i="25"/>
  <c r="L25" i="25" s="1"/>
  <c r="B25" i="25"/>
  <c r="F25" i="25" s="1"/>
  <c r="M24" i="25"/>
  <c r="J24" i="25"/>
  <c r="H24" i="25"/>
  <c r="E24" i="25"/>
  <c r="C24" i="25"/>
  <c r="L24" i="25" s="1"/>
  <c r="B24" i="25"/>
  <c r="F24" i="25" s="1"/>
  <c r="H23" i="25"/>
  <c r="C23" i="25"/>
  <c r="L23" i="25" s="1"/>
  <c r="B23" i="25"/>
  <c r="F23" i="25" s="1"/>
  <c r="J22" i="25"/>
  <c r="C22" i="25"/>
  <c r="L22" i="25" s="1"/>
  <c r="B22" i="25"/>
  <c r="F22" i="25" s="1"/>
  <c r="M21" i="25"/>
  <c r="J21" i="25"/>
  <c r="E21" i="25"/>
  <c r="C21" i="25"/>
  <c r="L21" i="25" s="1"/>
  <c r="B21" i="25"/>
  <c r="F21" i="25" s="1"/>
  <c r="M20" i="25"/>
  <c r="K20" i="25"/>
  <c r="E20" i="25"/>
  <c r="C20" i="25"/>
  <c r="L20" i="25" s="1"/>
  <c r="B20" i="25"/>
  <c r="F20" i="25" s="1"/>
  <c r="C19" i="25"/>
  <c r="L19" i="25" s="1"/>
  <c r="B19" i="25"/>
  <c r="F19" i="25" s="1"/>
  <c r="M18" i="25"/>
  <c r="E18" i="25"/>
  <c r="C18" i="25"/>
  <c r="L18" i="25" s="1"/>
  <c r="B18" i="25"/>
  <c r="F18" i="25" s="1"/>
  <c r="M17" i="25"/>
  <c r="J17" i="25"/>
  <c r="H17" i="25"/>
  <c r="E17" i="25"/>
  <c r="D17" i="25"/>
  <c r="C17" i="25"/>
  <c r="L17" i="25" s="1"/>
  <c r="B17" i="25"/>
  <c r="F17" i="25" s="1"/>
  <c r="H16" i="25"/>
  <c r="C16" i="25"/>
  <c r="L16" i="25" s="1"/>
  <c r="B16" i="25"/>
  <c r="F16" i="25" s="1"/>
  <c r="H15" i="25"/>
  <c r="C15" i="25"/>
  <c r="L15" i="25" s="1"/>
  <c r="B15" i="25"/>
  <c r="F15" i="25" s="1"/>
  <c r="M14" i="25"/>
  <c r="J14" i="25"/>
  <c r="H14" i="25"/>
  <c r="D14" i="25"/>
  <c r="C14" i="25"/>
  <c r="L14" i="25" s="1"/>
  <c r="B14" i="25"/>
  <c r="F14" i="25" s="1"/>
  <c r="C9" i="25"/>
  <c r="L9" i="25" s="1"/>
  <c r="B9" i="25"/>
  <c r="F9" i="25" s="1"/>
  <c r="C8" i="25"/>
  <c r="L8" i="25" s="1"/>
  <c r="B8" i="25"/>
  <c r="J8" i="25" s="1"/>
  <c r="L7" i="25"/>
  <c r="C7" i="25"/>
  <c r="I7" i="25" s="1"/>
  <c r="B7" i="25"/>
  <c r="D7" i="25" s="1"/>
  <c r="C6" i="25"/>
  <c r="I6" i="25" s="1"/>
  <c r="B6" i="25"/>
  <c r="D6" i="25" s="1"/>
  <c r="E27" i="25" l="1"/>
  <c r="E32" i="25"/>
  <c r="M27" i="25"/>
  <c r="M38" i="25"/>
  <c r="E15" i="25"/>
  <c r="M32" i="25"/>
  <c r="L6" i="25"/>
  <c r="M26" i="25"/>
  <c r="M46" i="25"/>
  <c r="E23" i="25"/>
  <c r="E36" i="25"/>
  <c r="M29" i="25"/>
  <c r="M36" i="25"/>
  <c r="E14" i="25"/>
  <c r="M23" i="25"/>
  <c r="M15" i="25"/>
  <c r="E29" i="25"/>
  <c r="M40" i="25"/>
  <c r="G8" i="25"/>
  <c r="M8" i="25"/>
  <c r="D19" i="25"/>
  <c r="K14" i="25"/>
  <c r="J15" i="25"/>
  <c r="H18" i="25"/>
  <c r="H19" i="25"/>
  <c r="H27" i="25"/>
  <c r="H28" i="25"/>
  <c r="H36" i="25"/>
  <c r="F40" i="25"/>
  <c r="K17" i="25"/>
  <c r="J18" i="25"/>
  <c r="J19" i="25"/>
  <c r="H20" i="25"/>
  <c r="D22" i="25"/>
  <c r="D23" i="25"/>
  <c r="K26" i="25"/>
  <c r="J27" i="25"/>
  <c r="J28" i="25"/>
  <c r="H29" i="25"/>
  <c r="D31" i="25"/>
  <c r="D32" i="25"/>
  <c r="K35" i="25"/>
  <c r="J36" i="25"/>
  <c r="F38" i="25"/>
  <c r="F39" i="25"/>
  <c r="K19" i="25"/>
  <c r="J20" i="25"/>
  <c r="H21" i="25"/>
  <c r="H22" i="25"/>
  <c r="K28" i="25"/>
  <c r="J29" i="25"/>
  <c r="H30" i="25"/>
  <c r="H31" i="25"/>
  <c r="K29" i="25"/>
  <c r="D16" i="25"/>
  <c r="K22" i="25"/>
  <c r="J23" i="25"/>
  <c r="K31" i="25"/>
  <c r="J32" i="25"/>
  <c r="F46" i="25"/>
  <c r="D20" i="25"/>
  <c r="K23" i="25"/>
  <c r="D28" i="25"/>
  <c r="D29" i="25"/>
  <c r="K32" i="25"/>
  <c r="H46" i="25"/>
  <c r="J16" i="25"/>
  <c r="H9" i="25"/>
  <c r="J9" i="25"/>
  <c r="I57" i="25"/>
  <c r="K57" i="25"/>
  <c r="J57" i="25"/>
  <c r="K55" i="25"/>
  <c r="J55" i="25"/>
  <c r="I55" i="25"/>
  <c r="I66" i="25"/>
  <c r="K66" i="25"/>
  <c r="J66" i="25"/>
  <c r="J74" i="25"/>
  <c r="K74" i="25"/>
  <c r="I74" i="25"/>
  <c r="I60" i="25"/>
  <c r="K60" i="25"/>
  <c r="J60" i="25"/>
  <c r="I54" i="25"/>
  <c r="J54" i="25"/>
  <c r="K54" i="25"/>
  <c r="K64" i="25"/>
  <c r="J64" i="25"/>
  <c r="I64" i="25"/>
  <c r="I69" i="25"/>
  <c r="K69" i="25"/>
  <c r="J69" i="25"/>
  <c r="I63" i="25"/>
  <c r="J63" i="25"/>
  <c r="K63" i="25"/>
  <c r="J6" i="25"/>
  <c r="J7" i="25"/>
  <c r="D8" i="25"/>
  <c r="E9" i="25"/>
  <c r="M9" i="25"/>
  <c r="E16" i="25"/>
  <c r="M25" i="25"/>
  <c r="E28" i="25"/>
  <c r="E31" i="25"/>
  <c r="M31" i="25"/>
  <c r="M39" i="25"/>
  <c r="J58" i="25"/>
  <c r="E6" i="25"/>
  <c r="K6" i="25"/>
  <c r="E7" i="25"/>
  <c r="K7" i="25"/>
  <c r="E8" i="25"/>
  <c r="K8" i="25"/>
  <c r="G9" i="25"/>
  <c r="I14" i="25"/>
  <c r="D15" i="25"/>
  <c r="K15" i="25"/>
  <c r="G16" i="25"/>
  <c r="I17" i="25"/>
  <c r="D18" i="25"/>
  <c r="K18" i="25"/>
  <c r="G19" i="25"/>
  <c r="I20" i="25"/>
  <c r="D21" i="25"/>
  <c r="K21" i="25"/>
  <c r="G22" i="25"/>
  <c r="I23" i="25"/>
  <c r="D24" i="25"/>
  <c r="K24" i="25"/>
  <c r="G25" i="25"/>
  <c r="I26" i="25"/>
  <c r="D27" i="25"/>
  <c r="K27" i="25"/>
  <c r="G28" i="25"/>
  <c r="I29" i="25"/>
  <c r="D30" i="25"/>
  <c r="K30" i="25"/>
  <c r="G31" i="25"/>
  <c r="I32" i="25"/>
  <c r="D33" i="25"/>
  <c r="K33" i="25"/>
  <c r="G34" i="25"/>
  <c r="I35" i="25"/>
  <c r="D36" i="25"/>
  <c r="K36" i="25"/>
  <c r="E38" i="25"/>
  <c r="L38" i="25"/>
  <c r="G39" i="25"/>
  <c r="J40" i="25"/>
  <c r="D40" i="25"/>
  <c r="I40" i="25"/>
  <c r="E41" i="25"/>
  <c r="L41" i="25"/>
  <c r="G42" i="25"/>
  <c r="J43" i="25"/>
  <c r="D43" i="25"/>
  <c r="I43" i="25"/>
  <c r="E44" i="25"/>
  <c r="L44" i="25"/>
  <c r="G45" i="25"/>
  <c r="J46" i="25"/>
  <c r="D46" i="25"/>
  <c r="I46" i="25"/>
  <c r="K58" i="25"/>
  <c r="I59" i="25"/>
  <c r="K67" i="25"/>
  <c r="I68" i="25"/>
  <c r="K73" i="25"/>
  <c r="K75" i="25"/>
  <c r="K78" i="25" s="1"/>
  <c r="I75" i="25"/>
  <c r="F7" i="25"/>
  <c r="F6" i="25"/>
  <c r="F8" i="25"/>
  <c r="G6" i="25"/>
  <c r="M6" i="25"/>
  <c r="G7" i="25"/>
  <c r="M7" i="25"/>
  <c r="I9" i="25"/>
  <c r="G15" i="25"/>
  <c r="I16" i="25"/>
  <c r="G18" i="25"/>
  <c r="I19" i="25"/>
  <c r="G21" i="25"/>
  <c r="I22" i="25"/>
  <c r="G24" i="25"/>
  <c r="I25" i="25"/>
  <c r="G27" i="25"/>
  <c r="I28" i="25"/>
  <c r="G30" i="25"/>
  <c r="I31" i="25"/>
  <c r="G33" i="25"/>
  <c r="I34" i="25"/>
  <c r="G36" i="25"/>
  <c r="G38" i="25"/>
  <c r="J39" i="25"/>
  <c r="D39" i="25"/>
  <c r="I39" i="25"/>
  <c r="E40" i="25"/>
  <c r="L40" i="25"/>
  <c r="G41" i="25"/>
  <c r="J42" i="25"/>
  <c r="D42" i="25"/>
  <c r="I42" i="25"/>
  <c r="E43" i="25"/>
  <c r="L43" i="25"/>
  <c r="G44" i="25"/>
  <c r="J45" i="25"/>
  <c r="D45" i="25"/>
  <c r="I45" i="25"/>
  <c r="E46" i="25"/>
  <c r="L46" i="25"/>
  <c r="I52" i="25"/>
  <c r="I56" i="25"/>
  <c r="I61" i="25"/>
  <c r="I65" i="25"/>
  <c r="I70" i="25"/>
  <c r="J71" i="25"/>
  <c r="K71" i="25"/>
  <c r="I8" i="25"/>
  <c r="D9" i="25"/>
  <c r="K9" i="25"/>
  <c r="G14" i="25"/>
  <c r="I15" i="25"/>
  <c r="K16" i="25"/>
  <c r="G17" i="25"/>
  <c r="I18" i="25"/>
  <c r="G20" i="25"/>
  <c r="I21" i="25"/>
  <c r="G23" i="25"/>
  <c r="I24" i="25"/>
  <c r="G26" i="25"/>
  <c r="I27" i="25"/>
  <c r="G29" i="25"/>
  <c r="I30" i="25"/>
  <c r="G32" i="25"/>
  <c r="I33" i="25"/>
  <c r="G35" i="25"/>
  <c r="I36" i="25"/>
  <c r="J38" i="25"/>
  <c r="D38" i="25"/>
  <c r="E39" i="25"/>
  <c r="J41" i="25"/>
  <c r="D41" i="25"/>
  <c r="E42" i="25"/>
  <c r="L42" i="25"/>
  <c r="J44" i="25"/>
  <c r="D44" i="25"/>
  <c r="E45" i="25"/>
  <c r="L45" i="25"/>
  <c r="I53" i="25"/>
  <c r="I62" i="25"/>
  <c r="I67" i="25"/>
  <c r="I71" i="25"/>
  <c r="H6" i="25"/>
  <c r="H7" i="25"/>
  <c r="H8" i="25"/>
  <c r="M16" i="25"/>
  <c r="E19" i="25"/>
  <c r="M19" i="25"/>
  <c r="E22" i="25"/>
  <c r="M22" i="25"/>
  <c r="E25" i="25"/>
  <c r="M28" i="25"/>
  <c r="E34" i="25"/>
  <c r="M34" i="25"/>
  <c r="J53" i="25"/>
  <c r="J62" i="25"/>
  <c r="I76" i="25"/>
  <c r="I78" i="25" s="1"/>
  <c r="J76" i="25"/>
  <c r="J78" i="25" s="1"/>
  <c r="K79" i="25" l="1"/>
  <c r="K80" i="25"/>
  <c r="J79" i="25"/>
  <c r="J80" i="25"/>
  <c r="I79" i="25"/>
  <c r="I80" i="25"/>
  <c r="I84" i="25" l="1"/>
  <c r="I83" i="25"/>
  <c r="I82" i="25"/>
</calcChain>
</file>

<file path=xl/sharedStrings.xml><?xml version="1.0" encoding="utf-8"?>
<sst xmlns="http://schemas.openxmlformats.org/spreadsheetml/2006/main" count="1693" uniqueCount="555">
  <si>
    <t>Impressum</t>
  </si>
  <si>
    <t>Produktlinie/Reihe:</t>
  </si>
  <si>
    <t>Tabellen</t>
  </si>
  <si>
    <t>Produkt-ID:</t>
  </si>
  <si>
    <t>Titel:</t>
  </si>
  <si>
    <t>Regionalreport über Beschäftigte (Quartalszahlen)</t>
  </si>
  <si>
    <t>Region:</t>
  </si>
  <si>
    <t>Görlitz (14626)</t>
  </si>
  <si>
    <t>Berichtsmonat:</t>
  </si>
  <si>
    <t>30. Juni 2025</t>
  </si>
  <si>
    <t>Erstellungsdatum:</t>
  </si>
  <si>
    <t>10.01.2026</t>
  </si>
  <si>
    <t>Periodizität:</t>
  </si>
  <si>
    <t>vierteljährlich</t>
  </si>
  <si>
    <t>Nächster Veröffentlichungstermin:</t>
  </si>
  <si>
    <t>10.04.2026</t>
  </si>
  <si>
    <t>Hinweise:</t>
  </si>
  <si>
    <t xml:space="preserve">In dieser Publikation wird über die sozialversicherungspflichtig und geringfügig entlohnten Beschäftigten berichtet. Eine weitere Unterteilung der geringfügig entlohnten Beschäftigten in ausschließlich geringfügig entlohnte und im Nebenjob tätige Beschäftigte ist bei ausgewählten Merkmalen, wie dem Beruf, aus Geheimhaltungsgründen nicht möglich. Weitergehende Informationen erhalten Sie über Ihren regionalen Statistik-Service. Soweit nicht anders angegeben, beziehen sich alle Zahlen auf den Arbeitsort. </t>
  </si>
  <si>
    <t>Herausgeberin:</t>
  </si>
  <si>
    <t>Bundesagentur für Arbeit</t>
  </si>
  <si>
    <t>Statistik</t>
  </si>
  <si>
    <t>Rückfragen an:</t>
  </si>
  <si>
    <t>Statistik-Service Südost</t>
  </si>
  <si>
    <t>Nordostpark 14</t>
  </si>
  <si>
    <t>90411 Nürnberg</t>
  </si>
  <si>
    <t>E-Mail:</t>
  </si>
  <si>
    <t>Statistik-Service-Suedost@arbeitsagentur.de</t>
  </si>
  <si>
    <t>Hotline:</t>
  </si>
  <si>
    <t>0911/179-8001</t>
  </si>
  <si>
    <t>Fax:</t>
  </si>
  <si>
    <t>0911/179-908001</t>
  </si>
  <si>
    <t>Internet:</t>
  </si>
  <si>
    <t>https://statistik.arbeitsagentur.de</t>
  </si>
  <si>
    <t>Zitierhinweis:</t>
  </si>
  <si>
    <t>Statistik der Bundesagentur für Arbeit,</t>
  </si>
  <si>
    <t>Tabellen, Regionalreport über Beschäftigte (Quartalszahlen), Nürnberg, Dezember 2025</t>
  </si>
  <si>
    <t>Nutzungsbedingungen:</t>
  </si>
  <si>
    <t>© Statistik der Bundesagentur für Arbeit</t>
  </si>
  <si>
    <r>
      <rPr>
        <sz val="10"/>
        <color theme="1"/>
        <rFont val="Arial"/>
        <family val="2"/>
      </rPr>
      <t>Die Produkte unterliegen dem Urheberrecht (</t>
    </r>
    <r>
      <rPr>
        <u/>
        <sz val="10"/>
        <color indexed="12"/>
        <rFont val="Arial"/>
        <family val="2"/>
      </rPr>
      <t>siehe Impressum</t>
    </r>
    <r>
      <rPr>
        <sz val="10"/>
        <color theme="1"/>
        <rFont val="Arial"/>
        <family val="2"/>
      </rPr>
      <t xml:space="preserve">). </t>
    </r>
  </si>
  <si>
    <r>
      <rPr>
        <sz val="10"/>
        <color theme="1"/>
        <rFont val="Arial"/>
        <family val="2"/>
      </rPr>
      <t xml:space="preserve">Daten und Tabellen dürfen uneingeschränkt verwendet werden. Informationen dürfen (auch auszugsweise) gespeichert und mit Quellenangabe weitergegeben, vervielfältigt und verbreitet werden.
Die Inhalte dürfen nicht verändert oder verfälscht werden. Eigene Berechnungen sind erlaubt, jedoch als solche kenntlich zu machen. 
Im Fall einer Veröffentlichung im Internet soll dies mit einer Verlinkung auf die </t>
    </r>
    <r>
      <rPr>
        <u/>
        <sz val="10"/>
        <color indexed="12"/>
        <rFont val="Arial"/>
        <family val="2"/>
      </rPr>
      <t>Homepage der Statistik der Bundesagentur für Arbeit</t>
    </r>
    <r>
      <rPr>
        <sz val="10"/>
        <color theme="1"/>
        <rFont val="Arial"/>
        <family val="2"/>
      </rPr>
      <t xml:space="preserve"> erfolgen.</t>
    </r>
  </si>
  <si>
    <t>Beschäftigungsstatistik</t>
  </si>
  <si>
    <t>Inhaltsverzeichnis</t>
  </si>
  <si>
    <t>Stichtag: 30. Juni 2025</t>
  </si>
  <si>
    <t>Quartalszahlen im Überblick</t>
  </si>
  <si>
    <t>Sozialversicherungspflichtig und geringfügig entlohnte Beschäftigte</t>
  </si>
  <si>
    <t>nach ausgewählten Merkmalen</t>
  </si>
  <si>
    <t>Tabelle 1</t>
  </si>
  <si>
    <t>Diagramm: Entwicklung sozialversicherungspflichtig Beschäftigter</t>
  </si>
  <si>
    <t>und geringfügig entlohnter Beschäftigter nach Regionen und nach</t>
  </si>
  <si>
    <t>der Klassifikation der Wirtschaftszweige (WZ 2008)</t>
  </si>
  <si>
    <t>Diagramm</t>
  </si>
  <si>
    <t>Sozialversicherungspflichtig Beschäftigte</t>
  </si>
  <si>
    <t>nach Regionen und ausgewählten Merkmalen</t>
  </si>
  <si>
    <t>Tabelle 2.1</t>
  </si>
  <si>
    <t>Tabelle 2.2</t>
  </si>
  <si>
    <t>nach der Klassifikation der Wirtschaftszweige 2008 (WZ 2008)</t>
  </si>
  <si>
    <t>Tabelle 2.3</t>
  </si>
  <si>
    <t>nach der Klassifikation der Berufe (KldB 2010)</t>
  </si>
  <si>
    <t>Tabelle 2.4</t>
  </si>
  <si>
    <t>Geringfügig entlohnte Beschäftigte</t>
  </si>
  <si>
    <t>Tabelle 3.1</t>
  </si>
  <si>
    <t>Tabelle 3.2</t>
  </si>
  <si>
    <t>Tabelle 3.3</t>
  </si>
  <si>
    <t xml:space="preserve"> </t>
  </si>
  <si>
    <t>Tabelle 3.4</t>
  </si>
  <si>
    <t>Begonnene sozialversicherungspflichtige Beschäftigungsverhältnisse</t>
  </si>
  <si>
    <t xml:space="preserve">Insgesamt / darunter befristet nach ausgewählten Merkmalen </t>
  </si>
  <si>
    <t>Tabelle 4.1</t>
  </si>
  <si>
    <t>Tabelle 4.2</t>
  </si>
  <si>
    <t>Tabelle 4.3</t>
  </si>
  <si>
    <t xml:space="preserve">Beendete sozialversicherungspflichtige Beschäftigungsverhältnisse </t>
  </si>
  <si>
    <t>Tabelle 5.1</t>
  </si>
  <si>
    <t>Tabelle 5.2</t>
  </si>
  <si>
    <t>Zeitreihe</t>
  </si>
  <si>
    <t>Sozialversicherungspflichtig und geringfügig entlohnte Beschäftigte sowie begonnene und beendete Beschäftigungsverhältnisse</t>
  </si>
  <si>
    <t>Tabelle 6</t>
  </si>
  <si>
    <t>Hinweisblätter</t>
  </si>
  <si>
    <t>Methodische Hinweise Berufsaggregate</t>
  </si>
  <si>
    <t>Hinw Berufsagg</t>
  </si>
  <si>
    <t>Methodische Hinweise Befristung</t>
  </si>
  <si>
    <t>Hinw Befristung</t>
  </si>
  <si>
    <t xml:space="preserve">Methodische Hinweise zu begonnenen und beendeten Beschäftigungsverhältnissen </t>
  </si>
  <si>
    <t>Hinw beg_been_BV</t>
  </si>
  <si>
    <t>Methodische Hinweise zu sozialversicherungspflichtig und geringfügig Beschäftigten</t>
  </si>
  <si>
    <t>Hinw SvB GB</t>
  </si>
  <si>
    <t>1. Sozialversicherungspflichtig und geringfügig entlohnte Beschäftigte nach
ausgewählten Merkmalen</t>
  </si>
  <si>
    <t>Görlitz (14626); Gebietsstand des jeweiligen Stichtags</t>
  </si>
  <si>
    <t>Merkmale</t>
  </si>
  <si>
    <r>
      <t xml:space="preserve">Anteile
in % </t>
    </r>
    <r>
      <rPr>
        <vertAlign val="superscript"/>
        <sz val="8"/>
        <rFont val="Arial"/>
        <family val="2"/>
      </rPr>
      <t>1)</t>
    </r>
  </si>
  <si>
    <r>
      <t xml:space="preserve">Beschäftigte am Stichtag </t>
    </r>
    <r>
      <rPr>
        <sz val="8"/>
        <rFont val="Arial"/>
        <family val="2"/>
      </rPr>
      <t xml:space="preserve">Ende ... </t>
    </r>
  </si>
  <si>
    <t>Veränderung 
gegenüber dem 
Vorjahresstichtag 
(Sp. 1 zu Sp. 5)</t>
  </si>
  <si>
    <t>Jun. 25</t>
  </si>
  <si>
    <t>Mrz. 25</t>
  </si>
  <si>
    <t>Dez. 24</t>
  </si>
  <si>
    <t>Sep. 24</t>
  </si>
  <si>
    <t>Jun. 24</t>
  </si>
  <si>
    <t>absolut</t>
  </si>
  <si>
    <t>in %</t>
  </si>
  <si>
    <t>Insgesamt</t>
  </si>
  <si>
    <t>dav.</t>
  </si>
  <si>
    <t>Männer</t>
  </si>
  <si>
    <t>Frauen</t>
  </si>
  <si>
    <t>unter 25 Jahre</t>
  </si>
  <si>
    <t>25 bis unter 55 Jahre</t>
  </si>
  <si>
    <t>55 bis unter 65 Jahre</t>
  </si>
  <si>
    <t>65 Jahre und älter</t>
  </si>
  <si>
    <t>dar.: bis zur Altersgrenze</t>
  </si>
  <si>
    <t>dar.</t>
  </si>
  <si>
    <t>Vollzeitbeschäftigte</t>
  </si>
  <si>
    <t>Teilzeitbeschäftigte</t>
  </si>
  <si>
    <t>Deutsche</t>
  </si>
  <si>
    <t>Ausländer</t>
  </si>
  <si>
    <t>Geringfügig entlohnte Beschäftigte (GeB)</t>
  </si>
  <si>
    <t>GeB - Insgesamt</t>
  </si>
  <si>
    <t>GeB - ausschließlich</t>
  </si>
  <si>
    <t>GeB - im Nebenjob</t>
  </si>
  <si>
    <r>
      <rPr>
        <vertAlign val="superscript"/>
        <sz val="7"/>
        <rFont val="Arial"/>
        <family val="2"/>
      </rPr>
      <t xml:space="preserve">1) </t>
    </r>
    <r>
      <rPr>
        <sz val="7"/>
        <rFont val="Arial"/>
        <family val="2"/>
      </rPr>
      <t>Anteil an der jeweiligen Gesamtsumme (Spaltenprozent)</t>
    </r>
  </si>
  <si>
    <r>
      <rPr>
        <vertAlign val="superscript"/>
        <sz val="7"/>
        <rFont val="Arial"/>
        <family val="2"/>
      </rPr>
      <t xml:space="preserve">*) </t>
    </r>
    <r>
      <rPr>
        <sz val="7"/>
        <rFont val="Arial"/>
        <family val="2"/>
      </rPr>
      <t>Aus Datenschutzgründen und Gründen der statistischen Geheimhaltung werden Zahlenwerte von 1 oder 2 und Daten, aus denen rechnerisch auf einen solchen Zahlenwert geschlossen werden kann, anonymisiert.</t>
    </r>
  </si>
  <si>
    <t>Entwicklung sozialversicherungspflichtig Beschäftigter und geringfügig entlohnter Beschäftigter nach Regionen</t>
  </si>
  <si>
    <t xml:space="preserve">und nach der Klassifikation der Wirtschaftszweige 2008 (WZ 2008) </t>
  </si>
  <si>
    <t>ausgewählte Regionen; Gebietsstand des jeweiligen Stichtags</t>
  </si>
  <si>
    <t>Veränderung gegenüber dem Vorjahresstichtag in %</t>
  </si>
  <si>
    <t>Geringfügig entlohnte Beschäftigte (insgesamt)</t>
  </si>
  <si>
    <t>Bundesland Sachsen</t>
  </si>
  <si>
    <t>Ostdeutschland</t>
  </si>
  <si>
    <t>Deutschland</t>
  </si>
  <si>
    <t>A</t>
  </si>
  <si>
    <t>Land-, Forstwirtschaft und Fischerei</t>
  </si>
  <si>
    <t>B,D,E</t>
  </si>
  <si>
    <t>Bergbau, Energie- und Wasserversorgung, Energiewirtschaft</t>
  </si>
  <si>
    <t>C
dav.</t>
  </si>
  <si>
    <t>Verarbeitendes Gewerbe</t>
  </si>
  <si>
    <t>10-15, 18, 21, 31</t>
  </si>
  <si>
    <t>Herstellung von überwiegend häuslich konsumierten Gütern (ohne Güter der Metall-, Elektro- und Chemieindustrie)</t>
  </si>
  <si>
    <t>24-30,32,33</t>
  </si>
  <si>
    <t>Metall- und Elektroindustrie sowie Stahlindustrie</t>
  </si>
  <si>
    <t>16, 17, 19, 
20, ,22, 23</t>
  </si>
  <si>
    <t>Hrst. v. Vorleistungsgütern, insb. v. chem. Erzeugnissen u. Kunsstoffwaren (ohne Güter der Metall- u. Elektroindustrie)</t>
  </si>
  <si>
    <t>F</t>
  </si>
  <si>
    <t>Baugewerbe</t>
  </si>
  <si>
    <t>G</t>
  </si>
  <si>
    <t>Handel, Instandhaltung, Reparatur von Kfz</t>
  </si>
  <si>
    <t>H</t>
  </si>
  <si>
    <t>Verkehr und Lagerei</t>
  </si>
  <si>
    <t>I</t>
  </si>
  <si>
    <t>Gastgewerbe</t>
  </si>
  <si>
    <t>J</t>
  </si>
  <si>
    <t>Information und Kommunikation</t>
  </si>
  <si>
    <t>K</t>
  </si>
  <si>
    <t>Erbringung von Finanz- und Versicherungsdienstleistungen</t>
  </si>
  <si>
    <t>L,M</t>
  </si>
  <si>
    <t>Immobilien, freiberufliche wissenschaftliche und technische Dienstleitstungen</t>
  </si>
  <si>
    <t>N</t>
  </si>
  <si>
    <t>sonstige wirtschaftliche Dienstleistungen</t>
  </si>
  <si>
    <t>dav. N 
(ohne ANÜ</t>
  </si>
  <si>
    <t>sonstige wirtschaftliche Dienstleistungen 
(ohne Arbeitnehmerüberlassung)</t>
  </si>
  <si>
    <t>Arbeitnehmerüberlassung</t>
  </si>
  <si>
    <t>O, U</t>
  </si>
  <si>
    <t>Öffentliche Verwaltung, Verteidigung, Sozialversicherung, Ext. Organisationen</t>
  </si>
  <si>
    <t>P</t>
  </si>
  <si>
    <t>Erziehung und Unterricht</t>
  </si>
  <si>
    <t>Gesundheitswesen</t>
  </si>
  <si>
    <t>Heime und Sozialwesen</t>
  </si>
  <si>
    <t>R,S,T</t>
  </si>
  <si>
    <t>sonstige Dienstleistungen, Private Haushalte</t>
  </si>
  <si>
    <t>keine Zuordnung möglich</t>
  </si>
  <si>
    <t>davon nach Sektoren:</t>
  </si>
  <si>
    <t>B - F</t>
  </si>
  <si>
    <t>Produzierendes Gewerbe</t>
  </si>
  <si>
    <t>G - U</t>
  </si>
  <si>
    <t>Dienstleistungsbereich</t>
  </si>
  <si>
    <t>*) Aus Datenschutzgründen und Gründen der statistischen Geheimhaltung werden Zahlenwerte von 1 oder 2 und Daten, aus denen rechnerisch auf einen solchen Zahlenwert geschlossen werden kann, anonymisiert. Gleiches gilt, wenn in einer Region weniger als 3 Betriebe ansässig sind  oder einer der Betriebe einen so hohen Beschäftigtenanteil auf sich vereint, dass die Beschäftigtenzahl  praktisch eine Einzelangabe über den Branchenführer darstellt (Dominanzfall).</t>
  </si>
  <si>
    <t>2.1 Sozialversicherungspflichtig Beschäftigte nach Regionen und ausgewählten
Merkmalen</t>
  </si>
  <si>
    <t xml:space="preserve">Regionen / Merkmale </t>
  </si>
  <si>
    <r>
      <t xml:space="preserve">Anteile in % </t>
    </r>
    <r>
      <rPr>
        <vertAlign val="superscript"/>
        <sz val="8"/>
        <rFont val="Arial"/>
        <family val="2"/>
      </rPr>
      <t>1)</t>
    </r>
  </si>
  <si>
    <t xml:space="preserve">sozialversicherungspflichtig Beschäftigte am Stichtag Ende ... </t>
  </si>
  <si>
    <t>Veränderung gegenüber
dem Vorjahresstichtag (Spalte 1 zu Spalte 5)</t>
  </si>
  <si>
    <t>in Vollzeit</t>
  </si>
  <si>
    <t>in Teilzeit</t>
  </si>
  <si>
    <t>Görlitz (14626) am Wohnort</t>
  </si>
  <si>
    <r>
      <rPr>
        <vertAlign val="superscript"/>
        <sz val="7"/>
        <rFont val="Arial"/>
        <family val="2"/>
      </rPr>
      <t xml:space="preserve">*) </t>
    </r>
    <r>
      <rPr>
        <sz val="7"/>
        <rFont val="Arial"/>
        <family val="2"/>
      </rPr>
      <t>Aus Datenschutzgründen und Gründen der statistischen Geheimhaltung werden Zahlenwerte von 1 oder 2 und Daten, aus denen rechnerisch auf einen solchen 
  Zahlenwert geschlossen werden kann, anonymisiert.</t>
    </r>
  </si>
  <si>
    <t>2.2 Sozialversicherungspflichtig Beschäftigte nach ausgewählten Merkmalen</t>
  </si>
  <si>
    <r>
      <t xml:space="preserve">nach dem Geschlecht
</t>
    </r>
    <r>
      <rPr>
        <sz val="8"/>
        <rFont val="Arial"/>
        <family val="2"/>
      </rPr>
      <t>dav.  Männer</t>
    </r>
  </si>
  <si>
    <r>
      <t xml:space="preserve">nach Altersgruppen und Geschlecht
</t>
    </r>
    <r>
      <rPr>
        <sz val="8"/>
        <rFont val="Arial"/>
        <family val="2"/>
      </rPr>
      <t>dav.  unter 25 Jahre</t>
    </r>
  </si>
  <si>
    <t xml:space="preserve">dar. </t>
  </si>
  <si>
    <t>bis zur Altersgrenze</t>
  </si>
  <si>
    <r>
      <t xml:space="preserve">nach Nationalität und Geschlecht
</t>
    </r>
    <r>
      <rPr>
        <sz val="8"/>
        <rFont val="Arial"/>
        <family val="2"/>
      </rPr>
      <t>dar.  Deutsche</t>
    </r>
  </si>
  <si>
    <r>
      <t>nach der Arbeitszeit und Geschlecht</t>
    </r>
    <r>
      <rPr>
        <sz val="8"/>
        <rFont val="Arial"/>
        <family val="2"/>
      </rPr>
      <t xml:space="preserve">
dar.  in Vollzeit</t>
    </r>
  </si>
  <si>
    <r>
      <t xml:space="preserve">Sozialversicherungspflichtig Beschäftigte in 
Werkstätten oder gleichartigen Einrichtungen für Menschen mit Behinderung </t>
    </r>
    <r>
      <rPr>
        <b/>
        <vertAlign val="superscript"/>
        <sz val="8"/>
        <rFont val="Arial"/>
        <family val="2"/>
      </rPr>
      <t>2)</t>
    </r>
    <r>
      <rPr>
        <sz val="8"/>
        <rFont val="Arial"/>
        <family val="2"/>
      </rPr>
      <t xml:space="preserve">
         Insgesamt                  </t>
    </r>
  </si>
  <si>
    <r>
      <t>nach dem Berufsabschluss und Geschlecht</t>
    </r>
    <r>
      <rPr>
        <sz val="8"/>
        <rFont val="Arial"/>
        <family val="2"/>
      </rPr>
      <t xml:space="preserve">
dav.  ohne beruflichen Ausbildungsabschluss</t>
    </r>
  </si>
  <si>
    <t>Auszubildende</t>
  </si>
  <si>
    <t xml:space="preserve">   Männer</t>
  </si>
  <si>
    <t xml:space="preserve">   Frauen</t>
  </si>
  <si>
    <r>
      <t xml:space="preserve">mit anerkanntem Berufsabschluss </t>
    </r>
    <r>
      <rPr>
        <vertAlign val="superscript"/>
        <sz val="8"/>
        <rFont val="Arial"/>
        <family val="2"/>
      </rPr>
      <t>3)</t>
    </r>
  </si>
  <si>
    <t>Abschluss anerkannte Berufsausbildung</t>
  </si>
  <si>
    <t xml:space="preserve">    Männer</t>
  </si>
  <si>
    <t xml:space="preserve">    Frauen</t>
  </si>
  <si>
    <t>Meister- / Techn . / gleichw. Fachschulabschl.</t>
  </si>
  <si>
    <r>
      <t xml:space="preserve">mit akademischem Abschluss </t>
    </r>
    <r>
      <rPr>
        <vertAlign val="superscript"/>
        <sz val="8"/>
        <rFont val="Arial"/>
        <family val="2"/>
      </rPr>
      <t>4)</t>
    </r>
  </si>
  <si>
    <t>Bachelor</t>
  </si>
  <si>
    <t>Diplom/Magister/Master/Staatsexamen</t>
  </si>
  <si>
    <t>Promotion</t>
  </si>
  <si>
    <t>Ausbildung unbekannt</t>
  </si>
  <si>
    <r>
      <rPr>
        <vertAlign val="superscript"/>
        <sz val="7"/>
        <rFont val="Arial"/>
        <family val="2"/>
      </rPr>
      <t xml:space="preserve">1)  </t>
    </r>
    <r>
      <rPr>
        <sz val="7"/>
        <rFont val="Arial"/>
        <family val="2"/>
      </rPr>
      <t>Anteil an der jeweiligen Gesamtsumme (Spaltenprozent)</t>
    </r>
  </si>
  <si>
    <r>
      <rPr>
        <vertAlign val="superscript"/>
        <sz val="7"/>
        <rFont val="Arial"/>
        <family val="2"/>
      </rPr>
      <t>2)</t>
    </r>
    <r>
      <rPr>
        <sz val="7"/>
        <rFont val="Arial"/>
        <family val="2"/>
      </rPr>
      <t xml:space="preserve"> Menschen mit Behinderung in anerkannten Einrichtungen, Personen in Einrichtungen der Jugendhilfe, Menschen mit Behinderung in Integrationsprojekt, Teiln. Teilhabe am Arbeitsleben.</t>
    </r>
  </si>
  <si>
    <r>
      <rPr>
        <vertAlign val="superscript"/>
        <sz val="7"/>
        <rFont val="Arial"/>
        <family val="2"/>
      </rPr>
      <t xml:space="preserve">3) </t>
    </r>
    <r>
      <rPr>
        <sz val="7"/>
        <rFont val="Arial"/>
        <family val="2"/>
      </rPr>
      <t>"mit anerkanntem Berufsabschluss" ist die Summe aus "mit anerkannter Berufsausbildung" und "Meister-/Techniker-/gleichw. Fachschulabschluss"</t>
    </r>
  </si>
  <si>
    <r>
      <rPr>
        <vertAlign val="superscript"/>
        <sz val="7"/>
        <rFont val="Arial"/>
        <family val="2"/>
      </rPr>
      <t>4)</t>
    </r>
    <r>
      <rPr>
        <sz val="7"/>
        <rFont val="Arial"/>
        <family val="2"/>
      </rPr>
      <t xml:space="preserve"> "mit akademischem Abschluss" ist die Summe aus "Bachelor", "Diplom/Magister/Master/Staatsexamen" und "Promotion"</t>
    </r>
  </si>
  <si>
    <r>
      <rPr>
        <vertAlign val="superscript"/>
        <sz val="7"/>
        <rFont val="Arial"/>
        <family val="2"/>
      </rPr>
      <t>.X)</t>
    </r>
    <r>
      <rPr>
        <sz val="7"/>
        <rFont val="Arial"/>
        <family val="2"/>
      </rPr>
      <t xml:space="preserve"> Nachweis von Veränderungswerten &lt; -250% bzw. &gt; 250% nicht sinnvoll</t>
    </r>
  </si>
  <si>
    <t>2.3 Sozialversicherungspflichtig Beschäftigte nach der Klassifikation der Wirtschaftszweige 2008 (WZ 2008)</t>
  </si>
  <si>
    <t>Wirtschaftsabschnitte / Wirtschaftsabteilungen / Wirtschaftsgruppen WZ 2008</t>
  </si>
  <si>
    <t>Bergbau, Energie- und Wasserversorgung, Entsorgungswirtschaft</t>
  </si>
  <si>
    <t>C</t>
  </si>
  <si>
    <t>dav. 10-15,
18, 21, 31</t>
  </si>
  <si>
    <t>Herstellung von überwiegend häuslich konsumierten Gütern 
(ohne Güter der Metall-, Elektro- und Chemieindustrie)</t>
  </si>
  <si>
    <t>24-30,
32, 33</t>
  </si>
  <si>
    <t>16, 17, 19, 
20, 22, 23</t>
  </si>
  <si>
    <t>Hrst. v. Vorleistungsgütern, insb. v. chem. Erzeugnissen u. Kunststoffwaren (ohne Güter der Metall- u. Elektroindustrie)</t>
  </si>
  <si>
    <t>Immobilien, freiberufliche wissenschaftliche und technische Dienstleistungen</t>
  </si>
  <si>
    <t xml:space="preserve">sonstige wirtschaftliche Dienstleistungen </t>
  </si>
  <si>
    <t>dav. N 
(ohne ANÜ)</t>
  </si>
  <si>
    <t>Öffentliche Verwaltung, Verteidigung, Sozialversicherung, 
Ext. Organisationen</t>
  </si>
  <si>
    <r>
      <rPr>
        <vertAlign val="superscript"/>
        <sz val="7"/>
        <rFont val="Arial"/>
        <family val="2"/>
      </rPr>
      <t xml:space="preserve">*) </t>
    </r>
    <r>
      <rPr>
        <sz val="7"/>
        <rFont val="Arial"/>
        <family val="2"/>
      </rPr>
      <t>Aus Datenschutzgründen und Gründen der statistischen Geheimhaltung werden Zahlenwerte von 1 oder 2 und Daten, aus denen rechnerisch auf einen solchen Zahlenwert geschlossen werden kann, anonymisiert. Gleiches gilt, wenn in einer Region weniger als 3 Betriebe ansässig sind  oder einer der Betriebe einen so hohen Beschäftigtenanteil auf sich vereint, dass die Beschäftigtenzahl praktisch eine Einzelangabe über den Branchenführer darstellt (Dominanzfall).</t>
    </r>
  </si>
  <si>
    <t>2.4 Sozialversicherungspflichtig Beschäftigte nach der Klassifikation der Berufe (KldB 2010)</t>
  </si>
  <si>
    <t>Anforderungsniveau/
Berufshauptgruppen/-gruppen (KldB2010)</t>
  </si>
  <si>
    <t>darunter nach Anforderungsniveau der ausgeübten Tätigkeit (KldB 2010)</t>
  </si>
  <si>
    <t>Helfer</t>
  </si>
  <si>
    <t>Fachkraft</t>
  </si>
  <si>
    <t>Spezialist</t>
  </si>
  <si>
    <t>Experte</t>
  </si>
  <si>
    <r>
      <t>darunter: ausgewählte Berufsaggregate</t>
    </r>
    <r>
      <rPr>
        <b/>
        <vertAlign val="superscript"/>
        <sz val="8"/>
        <rFont val="Arial"/>
        <family val="2"/>
      </rPr>
      <t>2)</t>
    </r>
    <r>
      <rPr>
        <b/>
        <sz val="8"/>
        <rFont val="Arial"/>
        <family val="2"/>
      </rPr>
      <t xml:space="preserve"> nach der ausgeübten Tätigkeit (KldB 2010)</t>
    </r>
  </si>
  <si>
    <t>Bauberufe</t>
  </si>
  <si>
    <t>Handwerksberufe</t>
  </si>
  <si>
    <t>Ingenieure</t>
  </si>
  <si>
    <t>MINT-Berufe</t>
  </si>
  <si>
    <r>
      <t>Pflegeberufe</t>
    </r>
    <r>
      <rPr>
        <vertAlign val="superscript"/>
        <sz val="8"/>
        <rFont val="Arial"/>
        <family val="2"/>
      </rPr>
      <t>3)</t>
    </r>
  </si>
  <si>
    <t>davon nach Berufsfachlichkeit der ausgeübten Tätigkeit (KldB 2010)</t>
  </si>
  <si>
    <t>Land-, Tier-, Forstwirtschaftsberufe</t>
  </si>
  <si>
    <t>dar. 111</t>
  </si>
  <si>
    <t>Landwirtschaft</t>
  </si>
  <si>
    <t>Gartenbauberufe, Floristik</t>
  </si>
  <si>
    <t>Rohstoffgewinn,Glas-,Keramikverarbeitung</t>
  </si>
  <si>
    <t>Kunststoff- u. Holzherst.,-verarbeitung</t>
  </si>
  <si>
    <t>Papier-,Druckberufe, tech.Mediengestalt.</t>
  </si>
  <si>
    <t>Metallerzeugung,-bearbeitung, Metallbau</t>
  </si>
  <si>
    <t>Maschinen- und Fahrzeugtechnikberufe</t>
  </si>
  <si>
    <t>Mechatronik-, Energie- u. Elektroberufe</t>
  </si>
  <si>
    <t>Techn.Entwickl.Konstr.Produktionssteuer.</t>
  </si>
  <si>
    <t>Textil- und Lederberufe</t>
  </si>
  <si>
    <t>Lebensmittelherstellung u. -verarbeitung</t>
  </si>
  <si>
    <t>dar. 292</t>
  </si>
  <si>
    <t>Lebensmittel- u. Genussmittelherstellung</t>
  </si>
  <si>
    <t>dar. 293</t>
  </si>
  <si>
    <t>Speisenzubereitung</t>
  </si>
  <si>
    <t>Bauplanung,Architektur,Vermessungsberufe</t>
  </si>
  <si>
    <t>Hoch- und Tiefbauberufe</t>
  </si>
  <si>
    <t>(Innen-)Ausbauberufe</t>
  </si>
  <si>
    <t>Gebäude- u. versorgungstechnische Berufe</t>
  </si>
  <si>
    <t>Mathematik-Biologie-Chemie-,Physikberufe</t>
  </si>
  <si>
    <t>Geologie-,Geografie-,Umweltschutzberufe</t>
  </si>
  <si>
    <t>Informatik- und andere IKT-Berufe</t>
  </si>
  <si>
    <t>Verkehr, Logistik (außer Fahrzeugführ.)</t>
  </si>
  <si>
    <t>dar. 513</t>
  </si>
  <si>
    <t>Lagerwirt.,Post,Zustellung,Güterumschlag</t>
  </si>
  <si>
    <t>dar. Berufe in der Lagerwirtschaft (5131)</t>
  </si>
  <si>
    <t>Führer von Fahrzeug- u. Transportgeräten</t>
  </si>
  <si>
    <t>dar. 521</t>
  </si>
  <si>
    <t>Fahrzeugführung im Straßenverkehr</t>
  </si>
  <si>
    <t>Schutz-,Sicherheits-, Überwachungsberufe</t>
  </si>
  <si>
    <t>dar. 531</t>
  </si>
  <si>
    <t>Obj.-,Pers.-,Brandschutz,Arbeitssicherh.</t>
  </si>
  <si>
    <t>Reinigungsberufe</t>
  </si>
  <si>
    <t>Einkaufs-, Vertriebs- und Handelsberufe</t>
  </si>
  <si>
    <t>Verkaufsberufe</t>
  </si>
  <si>
    <t>Tourismus-, Hotel- und Gaststättenberufe</t>
  </si>
  <si>
    <t>dar. 632</t>
  </si>
  <si>
    <t>Hotellerie</t>
  </si>
  <si>
    <t>dar. 633</t>
  </si>
  <si>
    <t>Gastronomie</t>
  </si>
  <si>
    <t>Berufe Unternehmensführung,-organisation</t>
  </si>
  <si>
    <t>dar. 713</t>
  </si>
  <si>
    <t>Unternehmensorganisation und -strategie</t>
  </si>
  <si>
    <t>dar. 714</t>
  </si>
  <si>
    <t>Büro und Sekretariat</t>
  </si>
  <si>
    <t>Finanzdienstl.Rechnungsw.,Steuerberatung</t>
  </si>
  <si>
    <t>dar. 721</t>
  </si>
  <si>
    <t>Versicherungs- u. Finanzdienstleistungen</t>
  </si>
  <si>
    <t>dar. 722</t>
  </si>
  <si>
    <t>Rechnungswesen, Controlling und Revision</t>
  </si>
  <si>
    <t>Berufe in Recht und Verwaltung</t>
  </si>
  <si>
    <t>dar. 732</t>
  </si>
  <si>
    <t>Verwaltung</t>
  </si>
  <si>
    <t>Medizinische Gesundheitsberufe</t>
  </si>
  <si>
    <t>dar. 811</t>
  </si>
  <si>
    <t>Arzt- und Praxishilfe</t>
  </si>
  <si>
    <t>dar. 813</t>
  </si>
  <si>
    <r>
      <t xml:space="preserve">Gesundh.,Krankenpfl.,Rettungsd.Geburtsh. </t>
    </r>
    <r>
      <rPr>
        <vertAlign val="superscript"/>
        <sz val="8"/>
        <rFont val="Arial"/>
        <family val="2"/>
      </rPr>
      <t>3)</t>
    </r>
  </si>
  <si>
    <t>dar. 814</t>
  </si>
  <si>
    <t>Human- und Zahnmedizin</t>
  </si>
  <si>
    <t>dar. 817</t>
  </si>
  <si>
    <t>Nicht ärztliche Therapie und Heilkunde</t>
  </si>
  <si>
    <t>Nichtmed.Gesundheit,Körperpfl.,Medizint.</t>
  </si>
  <si>
    <t>dar. 821</t>
  </si>
  <si>
    <t>dar. 823</t>
  </si>
  <si>
    <t>Körperpflege</t>
  </si>
  <si>
    <t>Erziehung,soz.,hauswirt.Berufe,Theologie</t>
  </si>
  <si>
    <t>dar. 831</t>
  </si>
  <si>
    <t>Erziehung,Sozialarb.,Heilerziehungspfl.</t>
  </si>
  <si>
    <t>dar. Berufe i.d. Kinderbetr., -erziehung (8311)</t>
  </si>
  <si>
    <t>Lehrende und ausbildende Berufe</t>
  </si>
  <si>
    <t>dar. 841</t>
  </si>
  <si>
    <t>Lehrtätigkeit an allgemeinbild. Schulen</t>
  </si>
  <si>
    <t>dar. 842</t>
  </si>
  <si>
    <t>Lehrt.berufsb.Fächer,betr.Ausb.,Betr.päd</t>
  </si>
  <si>
    <t>dar. 843</t>
  </si>
  <si>
    <t>Lehr-, Forschungstätigkeit an Hochschulen</t>
  </si>
  <si>
    <t>Geistes-Gesellschafts-Wirtschaftswissen.</t>
  </si>
  <si>
    <t>Werbung,Marketing,kaufm,red.Medienberufe</t>
  </si>
  <si>
    <t>Produktdesign, Kunsthandwerk</t>
  </si>
  <si>
    <t>Darstellende, unterhaltende Berufe</t>
  </si>
  <si>
    <t>XX</t>
  </si>
  <si>
    <t>Sonstige / Keine Angabe</t>
  </si>
  <si>
    <r>
      <t>2)</t>
    </r>
    <r>
      <rPr>
        <sz val="7"/>
        <rFont val="Arial"/>
        <family val="2"/>
      </rPr>
      <t xml:space="preserve"> Beschreibung der Berufsaggregate siehe beigefügtes Hinweisblatt "Berufsaggregate"</t>
    </r>
  </si>
  <si>
    <r>
      <rPr>
        <vertAlign val="superscript"/>
        <sz val="7"/>
        <rFont val="Arial"/>
        <family val="2"/>
      </rPr>
      <t>3)</t>
    </r>
    <r>
      <rPr>
        <sz val="7"/>
        <rFont val="Arial"/>
        <family val="2"/>
      </rPr>
      <t xml:space="preserve"> Aufgrund der Anfang 2020 eingeführten generalistischen Ausbildung zur Pflegefachfrau bzw. zum Pflegefachmann kann in den Arbeitsmarktstatistiken ab diesem Zeitpunkt nicht mehr trennscharf zwischen Gesundheits- und Krankenpflege einerseits und Altenpflege andererseits unterschieden werden. Daher werden beide Bereiche standardmäßig als Aggregat dargestellt und berichtet. In der Regel wird dazu das Aggregat “Pflegeberufe“ mit den Systematikpositionen 8130 Gesundheits-, Krankenpflege (o.S.), 8131 Fachkrankenpflege, 8132 Fachkinderkrankenpflege, 8138 Gesundheits-, Krankenpflege (ssT), 8139 Aufsicht, Führung – Pflege, Rettungsdienst, 821 Altenpflege (einschließlich Führung) der Klassifikation der Berufe 20210 (KldB 2010) verwendet, Fach- und Assistenzkräfte in der operationstechnischen Assistenz, im Rettungsdienst sowie in der Geburtshilfe sind nicht enthalten. Für weitere Informationen siehe auch Hintergrundinfo "Pflegeberufe in den Arbeitsmarktstatistiken 07/2021“.</t>
    </r>
  </si>
  <si>
    <r>
      <rPr>
        <vertAlign val="superscript"/>
        <sz val="7"/>
        <rFont val="Arial"/>
        <family val="2"/>
      </rPr>
      <t xml:space="preserve">*) </t>
    </r>
    <r>
      <rPr>
        <sz val="7"/>
        <rFont val="Arial"/>
        <family val="2"/>
      </rPr>
      <t xml:space="preserve">Aus Datenschutzgründen und Gründen der statistischen Geheimhaltung werden Zahlenwerte von 1 oder 2 und Daten, aus denen rechnerisch auf einen solchen Zahlenwert geschlossen werden kann, anonymisiert. </t>
    </r>
  </si>
  <si>
    <r>
      <rPr>
        <vertAlign val="superscript"/>
        <sz val="7"/>
        <rFont val="Arial"/>
        <family val="2"/>
      </rPr>
      <t xml:space="preserve">() </t>
    </r>
    <r>
      <rPr>
        <sz val="7"/>
        <rFont val="Arial"/>
        <family val="2"/>
      </rPr>
      <t>Eingeschränkte Aussagekraft der beruflichen Tätigkeit nach KldB 2010 bei niedriger Fallzahl.</t>
    </r>
  </si>
  <si>
    <t>3.1 Geringfügig entlohnte Beschäftigte nach Regionen und ausgewählten Merkmalen</t>
  </si>
  <si>
    <t>Regionen / Merkmale</t>
  </si>
  <si>
    <t xml:space="preserve">geringfügig entlohnte Beschäftigte am Stichtag Ende ... </t>
  </si>
  <si>
    <t>3.2 Geringfügig entlohnte Beschäftigte nach ausgewählten Merkmalen</t>
  </si>
  <si>
    <r>
      <t xml:space="preserve">mit anerkanntem Berufsabschluss </t>
    </r>
    <r>
      <rPr>
        <vertAlign val="superscript"/>
        <sz val="8"/>
        <rFont val="Arial"/>
        <family val="2"/>
      </rPr>
      <t>2)</t>
    </r>
  </si>
  <si>
    <r>
      <rPr>
        <vertAlign val="superscript"/>
        <sz val="7"/>
        <rFont val="Arial"/>
        <family val="2"/>
      </rPr>
      <t xml:space="preserve">2) </t>
    </r>
    <r>
      <rPr>
        <sz val="7"/>
        <rFont val="Arial"/>
        <family val="2"/>
      </rPr>
      <t>"mit anerkanntem Berufsabschluss" ist die Summe aus "mit anerkannter Berufsausbildung" und "Meister-/Techniker-/gleichw. Fachschulabschluss"</t>
    </r>
  </si>
  <si>
    <r>
      <rPr>
        <vertAlign val="superscript"/>
        <sz val="7"/>
        <rFont val="Arial"/>
        <family val="2"/>
      </rPr>
      <t>3)</t>
    </r>
    <r>
      <rPr>
        <sz val="7"/>
        <rFont val="Arial"/>
        <family val="2"/>
      </rPr>
      <t xml:space="preserve"> "mit akademischem Abschluss" ist die Summe aus "Bachelor", "Diplom/Magister/Master/Staatsexamen" und "Promotion"</t>
    </r>
  </si>
  <si>
    <t>3.3 Geringfügig entlohnte Beschäftigte nach der Klassifikation der Wirtschaftszweige 2008 (WZ 2008)</t>
  </si>
  <si>
    <t>3.4 Geringfügig entlohnte Beschäftigte nach der Klassifikation der Berufe (KldB 2010)</t>
  </si>
  <si>
    <t>Anforderungsniveau/
Berufshauptgruppen/-gruppen
(KldB2010)</t>
  </si>
  <si>
    <t xml:space="preserve">4.1 Begonnene sozialversicherungspflichtige Beschäftigungsverhältnisse und darunter 
befristete Beschäftigungsverhältnisse sowie Befristungsanteile nach ausgewählten Merkmalen </t>
  </si>
  <si>
    <t>2. Quartal 2025</t>
  </si>
  <si>
    <t xml:space="preserve">Merkmale           </t>
  </si>
  <si>
    <t>1. Quartal 2025</t>
  </si>
  <si>
    <t>4. Quartal 2024</t>
  </si>
  <si>
    <t>3. Quartal 2024</t>
  </si>
  <si>
    <t>2. Quartal 2024</t>
  </si>
  <si>
    <t>Veränderung gegenüber
dem Vorjahresquartal 
(Spalte 1 zu Spalte 5)</t>
  </si>
  <si>
    <t>in %(-Pkt.)</t>
  </si>
  <si>
    <t>begonnene sozialversicherungspflichtige 
Beschäftigungsverhältnisse (begBV)</t>
  </si>
  <si>
    <t>dav.:</t>
  </si>
  <si>
    <t xml:space="preserve"> Männer                      </t>
  </si>
  <si>
    <t xml:space="preserve"> Frauen                        </t>
  </si>
  <si>
    <t>dar.:</t>
  </si>
  <si>
    <r>
      <t xml:space="preserve">Befristungsanteil </t>
    </r>
    <r>
      <rPr>
        <b/>
        <vertAlign val="superscript"/>
        <sz val="8"/>
        <rFont val="Arial"/>
        <family val="2"/>
      </rPr>
      <t>2)</t>
    </r>
  </si>
  <si>
    <t>x</t>
  </si>
  <si>
    <r>
      <t xml:space="preserve">dar.: beg. svpfl. BV in der SvB-Kerngruppe </t>
    </r>
    <r>
      <rPr>
        <b/>
        <vertAlign val="superscript"/>
        <sz val="8"/>
        <rFont val="Arial"/>
        <family val="2"/>
      </rPr>
      <t>3)</t>
    </r>
  </si>
  <si>
    <t>befristet</t>
  </si>
  <si>
    <t>dar. befristet</t>
  </si>
  <si>
    <t>unter 25 Jahren</t>
  </si>
  <si>
    <r>
      <t>1)</t>
    </r>
    <r>
      <rPr>
        <sz val="7"/>
        <rFont val="Arial"/>
        <family val="2"/>
      </rPr>
      <t xml:space="preserve"> Als begonnene Beschäftigungsverhältnisse im Sinne der Beschäftigungsstatistik zählen die Anmeldungen zu einem sozialversicherungspflichtigen Beschäftigungsverhältnis innerhalb eines Zeitraums. Mehrfacherfassungen von Beschäftigten sind möglich.</t>
    </r>
  </si>
  <si>
    <r>
      <t>2)</t>
    </r>
    <r>
      <rPr>
        <sz val="7"/>
        <rFont val="Arial"/>
        <family val="2"/>
      </rPr>
      <t xml:space="preserve"> bezogen auf SvB-Kerngruppe-Befristung</t>
    </r>
  </si>
  <si>
    <r>
      <t>3)</t>
    </r>
    <r>
      <rPr>
        <sz val="7"/>
        <color indexed="8"/>
        <rFont val="Arial"/>
        <family val="2"/>
      </rPr>
      <t xml:space="preserve"> SvB-Kerngruppe Befristung - siehe methodische Hinweise</t>
    </r>
  </si>
  <si>
    <t>4.2 Begonnene sozialversicherungspflichtige Beschäftigungsverhältnisse nach der Klassifikation der 
Wirtschaftszweige 2008 (WZ 2008)</t>
  </si>
  <si>
    <r>
      <t>begonnene sozialversicherungspflichtige Beschäftigungsverhältnisse</t>
    </r>
    <r>
      <rPr>
        <vertAlign val="superscript"/>
        <sz val="8"/>
        <rFont val="Arial"/>
        <family val="2"/>
      </rPr>
      <t>2)</t>
    </r>
    <r>
      <rPr>
        <sz val="8"/>
        <rFont val="Arial"/>
        <family val="2"/>
      </rPr>
      <t xml:space="preserve"> im…</t>
    </r>
  </si>
  <si>
    <t>Veränderung gegenüber
dem Vorjahresquartal (Spalte 1 zu Spalte 5)</t>
  </si>
  <si>
    <r>
      <t>2)</t>
    </r>
    <r>
      <rPr>
        <sz val="7"/>
        <rFont val="Arial"/>
        <family val="2"/>
      </rPr>
      <t xml:space="preserve"> Als begonnene Beschäftigungsverhältnisse im Sinne der Beschäftigungsstatistik zählen die Anmeldungen zu einem sozialversicherungspflichtigen Beschäftigungsverhältnis innerhalb eines Zeitraums. Mehrfacherfassungen von Beschäftigten sind möglich.</t>
    </r>
  </si>
  <si>
    <t>*) Aus Datenschutzgründen und Gründen der statistischen Geheimhaltung werden Zahlenwerte von 1 oder 2 und Daten, aus denen rechnerisch auf einen solchen Zahlenwert geschlossen werden kann, anonymisiert. Gleiches gilt, wenn eine Region oder ein Wirtschaftszweig 1 oder 2 Betriebe aufweist oder einer der Betriebe einen so hohen Beschäftigtenanteil auf sich vereint, dass die Beschäftigtenzahl praktisch eine Einzelangabe über diesen Betrieb darstellt (Dominanzfall). In Fällen, in denen Werte von Null eine Information über den Merkmalsträger offen legen, werden auch diese Nullwerte anonymisiert.</t>
  </si>
  <si>
    <t>4.3 Begonnene sozialversicherungspflichtige Beschäftigungsverhältnisse nach der Klassifikation der 
Berufe (KldB 2010)</t>
  </si>
  <si>
    <r>
      <t>begonnene sozialversicherungspflichtige
Beschäftigungsverhältnisse</t>
    </r>
    <r>
      <rPr>
        <vertAlign val="superscript"/>
        <sz val="8"/>
        <rFont val="Arial"/>
        <family val="2"/>
      </rPr>
      <t>3)</t>
    </r>
    <r>
      <rPr>
        <sz val="8"/>
        <rFont val="Arial"/>
        <family val="2"/>
      </rPr>
      <t xml:space="preserve"> im…</t>
    </r>
  </si>
  <si>
    <r>
      <t xml:space="preserve">Gesundh.,Krankenpfl.,Rettungsd.Geburtsh. </t>
    </r>
    <r>
      <rPr>
        <vertAlign val="superscript"/>
        <sz val="8"/>
        <rFont val="Arial"/>
        <family val="2"/>
      </rPr>
      <t>2)</t>
    </r>
  </si>
  <si>
    <r>
      <rPr>
        <vertAlign val="superscript"/>
        <sz val="7"/>
        <rFont val="Arial"/>
        <family val="2"/>
      </rPr>
      <t xml:space="preserve">2) </t>
    </r>
    <r>
      <rPr>
        <sz val="7"/>
        <rFont val="Arial"/>
        <family val="2"/>
      </rPr>
      <t>Aufgrund der Anfang 2020 eingeführten generalistischen Ausbildung zur Pflegefachfrau bzw. zum Pflegefachmann kann in den Arbeitsmarktstatistiken ab diesem Zeitpunkt nicht mehr trennscharf zwischen Gesundheits- und Krankenpflege einerseits und Altenpflege andererseits unterschieden werden. Daher solllten die beiden Berufe nur in Summe betrachtet werden.</t>
    </r>
  </si>
  <si>
    <r>
      <t>3)</t>
    </r>
    <r>
      <rPr>
        <sz val="7"/>
        <rFont val="Arial"/>
        <family val="2"/>
      </rPr>
      <t xml:space="preserve"> Als begonnene Beschäftigungsverhältnisse im Sinne der Beschäftigungsstatistik zählen die Anmeldungen zu einem sozialversicherungspflichtigen Beschäftigungsverhältnis innerhalb eines Zeitraums. Mehrfacherfassungen von Beschäftigten sind möglich.</t>
    </r>
  </si>
  <si>
    <t>.X Veränderungswert &gt;250%. In begründeten Ausnahmefällen kann von der Regel abgewichen werden.</t>
  </si>
  <si>
    <t>5.1 Beendete sozialversicherungspflichtige Beschäftigungsverhältnisse nach der Klassifikation der 
Wirtschaftszweige 2008 (WZ 2008)</t>
  </si>
  <si>
    <r>
      <t>beendete sozialversicherungspflichtige 
Beschäftigungsverhältnisse</t>
    </r>
    <r>
      <rPr>
        <vertAlign val="superscript"/>
        <sz val="8"/>
        <rFont val="Arial"/>
        <family val="2"/>
      </rPr>
      <t>2)</t>
    </r>
    <r>
      <rPr>
        <sz val="8"/>
        <rFont val="Arial"/>
        <family val="2"/>
      </rPr>
      <t xml:space="preserve"> im…</t>
    </r>
  </si>
  <si>
    <r>
      <t>2)</t>
    </r>
    <r>
      <rPr>
        <sz val="7"/>
        <rFont val="Arial"/>
        <family val="2"/>
      </rPr>
      <t xml:space="preserve"> Als beendete Beschäftigungsverhältnisse im Sinne der Beschäftigungsstatistik zählen die Abmeldungen von einem sozialversicherungspflichtigen Beschäftigungsverhältnis innerhalb eines Zeitraums. Mehrfacherfassungen von Beschäftigten sind möglich.</t>
    </r>
  </si>
  <si>
    <t>5.2 Beendete sozialversicherungspflichtige Beschäftigungsverhältnisse nach der Klassifikation der
Berufe (KldB 2010)</t>
  </si>
  <si>
    <r>
      <t>beendete sozialversicherungspflichtige 
Beschäftigungsverhältnisse</t>
    </r>
    <r>
      <rPr>
        <vertAlign val="superscript"/>
        <sz val="8"/>
        <rFont val="Arial"/>
        <family val="2"/>
      </rPr>
      <t>3)</t>
    </r>
    <r>
      <rPr>
        <sz val="8"/>
        <rFont val="Arial"/>
        <family val="2"/>
      </rPr>
      <t xml:space="preserve"> im…</t>
    </r>
  </si>
  <si>
    <r>
      <t>3)</t>
    </r>
    <r>
      <rPr>
        <sz val="7"/>
        <rFont val="Arial"/>
        <family val="2"/>
      </rPr>
      <t xml:space="preserve"> Als beendete Beschäftigungsverhältnisse im Sinne der Beschäftigungsstatistik zählen die Abmeldungen von einem sozialversicherungspflichtigen Beschäftigungsverhältnis innerhalb eines Zeitraums. Mehrfacherfassungen von Beschäftigten sind möglich.</t>
    </r>
  </si>
  <si>
    <t xml:space="preserve">6. Sozialversicherungspflichtig und geringfügig entlohnte Beschäftigte sowie begonnene und beendete sv-pflichtige
Beschäftigungsverhältnisse </t>
  </si>
  <si>
    <t>Görlitz (14626); (Gebietsstand Dezember 2025)</t>
  </si>
  <si>
    <r>
      <t>Zeitreihe mit fiktivem Gebietsstand</t>
    </r>
    <r>
      <rPr>
        <vertAlign val="superscript"/>
        <sz val="8"/>
        <rFont val="Arial"/>
        <family val="2"/>
      </rPr>
      <t xml:space="preserve"> 1) 2)</t>
    </r>
  </si>
  <si>
    <t>Aufgrund einer rückwirkenden Korrektur der Beschäftigungsstatistik können diese Daten von zuvor veröffentlichten Ergebnissen geringfügig abweichen.</t>
  </si>
  <si>
    <t>Stichtag Ende ... /
Quartal</t>
  </si>
  <si>
    <t>sozialversicherungspflichtig Beschäftigte
(Stichtag)</t>
  </si>
  <si>
    <t>geringfügig entlohnte Beschäftigte 
(Stichtag)</t>
  </si>
  <si>
    <t>Beschäftigungs-
verhältnisse
(Quartal)</t>
  </si>
  <si>
    <t>Vollzeit</t>
  </si>
  <si>
    <t>Teilzeit</t>
  </si>
  <si>
    <t>50 bis unter 65 Jahre</t>
  </si>
  <si>
    <t xml:space="preserve">aus-
schließlich </t>
  </si>
  <si>
    <t>im Nebenjob</t>
  </si>
  <si>
    <t xml:space="preserve">begonnene </t>
  </si>
  <si>
    <t>beendete</t>
  </si>
  <si>
    <t xml:space="preserve">2015 Jun. / 2 . Quartal </t>
  </si>
  <si>
    <t xml:space="preserve">         Sep. / 3 . Quartal </t>
  </si>
  <si>
    <t xml:space="preserve">         Dez. / 4 . Quartal </t>
  </si>
  <si>
    <t xml:space="preserve">2016 Mrz. / 1 . Quartal </t>
  </si>
  <si>
    <t xml:space="preserve">         Jun. / 2 . Quartal </t>
  </si>
  <si>
    <t xml:space="preserve">2017 Mrz. / 1 . Quartal </t>
  </si>
  <si>
    <t xml:space="preserve">2018 Mrz. / 1 . Quartal </t>
  </si>
  <si>
    <t xml:space="preserve">2019 Mrz. / 1 . Quartal </t>
  </si>
  <si>
    <t xml:space="preserve">2020 Mrz. / 1 . Quartal </t>
  </si>
  <si>
    <t xml:space="preserve">2021 Mrz. / 1 . Quartal </t>
  </si>
  <si>
    <t xml:space="preserve">2022 Mrz. / 1 . Quartal </t>
  </si>
  <si>
    <t xml:space="preserve">2023 Mrz. / 1 . Quartal </t>
  </si>
  <si>
    <t xml:space="preserve">2024 Mrz. / 1 . Quartal </t>
  </si>
  <si>
    <t xml:space="preserve">2025 Mrz. / 1 . Quartal </t>
  </si>
  <si>
    <r>
      <rPr>
        <vertAlign val="superscript"/>
        <sz val="7"/>
        <rFont val="Arial"/>
        <family val="2"/>
      </rPr>
      <t xml:space="preserve">1) </t>
    </r>
    <r>
      <rPr>
        <sz val="7"/>
        <rFont val="Arial"/>
        <family val="2"/>
      </rPr>
      <t>Die Zeitreihe bildet abweichend von den anderen Tabellen dieses Produkts nicht den Gebietsstand zum jeweiligen Stichtag sondern zum o. g. festen Zeitpunkt ab und ermöglicht somit einen Vergleich unabhängig von in der Vergangenheit erfolgten Gebietsstandsänderungen.</t>
    </r>
  </si>
  <si>
    <r>
      <t xml:space="preserve">2) </t>
    </r>
    <r>
      <rPr>
        <sz val="7"/>
        <color rgb="FF000000"/>
        <rFont val="Arial"/>
        <family val="2"/>
      </rPr>
      <t>Im Dezember 2023 erfolgte eine partielle Revision der Wohn- und Arbeitsortangaben in der Beschäftigungsstatistik, siehe methodischer Hinweis.</t>
    </r>
  </si>
  <si>
    <t>Stand: 02.08.2023</t>
  </si>
  <si>
    <t>Methodische Hinweise zu ausgeübte Tätigkeit und Anforderungsniveau (KldB 2010) - Berufsaggregate</t>
  </si>
  <si>
    <r>
      <rPr>
        <b/>
        <sz val="10"/>
        <rFont val="Arial"/>
        <family val="2"/>
      </rPr>
      <t>Ausgeübte Tätigkeit</t>
    </r>
    <r>
      <rPr>
        <sz val="9"/>
        <rFont val="Arial"/>
        <family val="2"/>
      </rPr>
      <t xml:space="preserve">
Die ausgeübte Tätigkeit wird in der Beschäftigungsstatistik seit dem </t>
    </r>
    <r>
      <rPr>
        <b/>
        <sz val="9"/>
        <rFont val="Arial"/>
        <family val="2"/>
      </rPr>
      <t>Stichtag 31.12.2012</t>
    </r>
    <r>
      <rPr>
        <sz val="9"/>
        <rFont val="Arial"/>
        <family val="2"/>
      </rPr>
      <t xml:space="preserve"> nach der Klassifikation der Berufe 2010 (KldB 2010) abgebildet. Maßgebend für die Verschlüsselung ist allein die Tätigkeit, die der Beschäftigte aktuell im Betrieb ausübt – auch wenn diese Tätigkeit nicht dem erlernten Beruf entspricht. Treffen mehrere Tätigkeitsbezeichnungen für einen Beschäftigten zu, wird die Bezeichnung verschlüsselt, die für die überwiegend ausgeübte Tätigkeit gilt. </t>
    </r>
    <r>
      <rPr>
        <b/>
        <sz val="9"/>
        <rFont val="Arial"/>
        <family val="2"/>
      </rPr>
      <t>Auszubildende</t>
    </r>
    <r>
      <rPr>
        <sz val="9"/>
        <rFont val="Arial"/>
        <family val="2"/>
      </rPr>
      <t xml:space="preserve"> werden mit ihrem </t>
    </r>
    <r>
      <rPr>
        <b/>
        <sz val="9"/>
        <rFont val="Arial"/>
        <family val="2"/>
      </rPr>
      <t>Zielberuf</t>
    </r>
    <r>
      <rPr>
        <sz val="9"/>
        <rFont val="Arial"/>
        <family val="2"/>
      </rPr>
      <t xml:space="preserve"> (gemäß Ausbildungsvertrag) verschlüsselt. Ein Vergleich der KldB 2010 mit den Angaben älterer Klassifikationen (KldB 1988) ist nur sehr eingeschränkt möglich. 
Die Klassifikation der Berufe 2010 strukturiert und gruppiert die in Deutschland üblichen Berufsbezeichnungen anhand ihrer Ähnlichkeit über ein hierarchisch aufsteigendes, numerisches System in fünf Ebenen. Als strukturgebende Dimension weist die KldB 2010 auf den ersten vier Aggregationsebenen die „Berufsfachlichkeit“ aus.</t>
    </r>
  </si>
  <si>
    <t>Beschreibung der Berufsaggregate:</t>
  </si>
  <si>
    <r>
      <rPr>
        <b/>
        <sz val="9"/>
        <rFont val="Arial"/>
        <family val="2"/>
      </rPr>
      <t>"Bauberufe"</t>
    </r>
    <r>
      <rPr>
        <sz val="9"/>
        <rFont val="Arial"/>
        <family val="2"/>
      </rPr>
      <t xml:space="preserve">
Kurzbeschreibung
Das Berufsaggregat "Bauberufe" umfasst Berufsgattungen der KldB2010, die typische Bau-Tätigkeiten beschreiben und ist nicht im Sinne von etwaigen personenbezogenen Berufsausbildungen zu interpretieren. Das bedeutet im Umkehrschluss, eine mögliche Berufsausbildung in einem Bauberuf stellt nicht die einzige Zugangsmöglichkeit zu diesen Berufen bzw. Tätigkeiten dar, auch wenn sie vielleicht als idealtypisch gelten mag. Die Tätigkeiten reichen vom Anforderungsniveau "Helfer" bis "Experte".
</t>
    </r>
    <r>
      <rPr>
        <u/>
        <sz val="9"/>
        <rFont val="Arial"/>
        <family val="2"/>
      </rPr>
      <t>Zugeordnete Berufe (Beispiele)</t>
    </r>
    <r>
      <rPr>
        <sz val="9"/>
        <rFont val="Arial"/>
        <family val="2"/>
      </rPr>
      <t xml:space="preserve">
Bauhelfer/-in
Elektroinstallateur/-in
Maurermeister/-in
Architekt/-in</t>
    </r>
  </si>
  <si>
    <t>hier finden Sie die ausführliche Beschreibung der "Bauberufe"</t>
  </si>
  <si>
    <r>
      <rPr>
        <b/>
        <sz val="9"/>
        <rFont val="Arial"/>
        <family val="2"/>
      </rPr>
      <t>"Handwerksberufe"</t>
    </r>
    <r>
      <rPr>
        <sz val="9"/>
        <rFont val="Arial"/>
        <family val="2"/>
      </rPr>
      <t xml:space="preserve">
Kurzbeschreibung
Das spezifische Berufsaggregat "Handwerksberufe" umfasst Berufsgattungen der KldB2010, die für ausgebildete Handwerker typische Berufe im Sinne von Tätigkeiten beschreiben und ist nicht im Sinne von personenbezogenen Berufsausbildungen zu interpretieren. Hierbei ist zu beachten, dass auch Ausbildungen des industriellen Sektors eine Zugangsvoraussetzung zu Handwerksberufen darstellen. Das bedeutet, eine Berufsausbildung zum Handwerker stellt nicht die einzige Zugangsmöglichkeit zu diesen Berufen bzw. Tätigkeiten dar, auch wenn sie vielleicht als idealtypisch gelten mag.
</t>
    </r>
    <r>
      <rPr>
        <u/>
        <sz val="9"/>
        <rFont val="Arial"/>
        <family val="2"/>
      </rPr>
      <t>Zugeordnete Berufe (Beispiele)</t>
    </r>
    <r>
      <rPr>
        <sz val="9"/>
        <rFont val="Arial"/>
        <family val="2"/>
      </rPr>
      <t xml:space="preserve">
Tischlerei, KFZ-Mechatronik, Fotografie, Gebäudereinigung, Medizintechnik, Raumausstattung</t>
    </r>
  </si>
  <si>
    <t>hier finden Sie die ausführliche Beschreibung der "Handwerksberufe"</t>
  </si>
  <si>
    <r>
      <rPr>
        <b/>
        <sz val="9"/>
        <rFont val="Arial"/>
        <family val="2"/>
      </rPr>
      <t>"Ingenieurberufe"</t>
    </r>
    <r>
      <rPr>
        <sz val="9"/>
        <rFont val="Arial"/>
        <family val="2"/>
      </rPr>
      <t xml:space="preserve">
Kurzbeschreibung
Das Berufsaggregat "Ingenieurberufe" umfasst Berufsgattungen der KldB2010, die für ausgebildete Ingenieure typische Berufe im Sinne von Tätigkeiten beschreiben und ist nicht im Sinne von personenbezogenen Berufsausbildungen zu interpretieren. Das bedeutet im Umkehrschluss, eine Berufsausbildung zum Ingenieur stellt nicht die einzige Zugangsmöglichkeit zu diesen Berufen bzw. Tätigkeiten dar, auch wenn sie vielleicht als idealtypisch gelten mag.
</t>
    </r>
    <r>
      <rPr>
        <u/>
        <sz val="9"/>
        <rFont val="Arial"/>
        <family val="2"/>
      </rPr>
      <t>Zugeordnete Berufe (Beispiele)</t>
    </r>
    <r>
      <rPr>
        <sz val="9"/>
        <rFont val="Arial"/>
        <family val="2"/>
      </rPr>
      <t xml:space="preserve">
Maschinenbauingenieur/-in
Ingenieur/-in - Druck- und Medientechnik
Elektrotechnikingenieur/-in
Bauingenieur/-in</t>
    </r>
  </si>
  <si>
    <t>hier finden Sie die ausführliche Beschreibung der "Ingenieurberufe"</t>
  </si>
  <si>
    <r>
      <rPr>
        <b/>
        <sz val="9"/>
        <rFont val="Arial"/>
        <family val="2"/>
      </rPr>
      <t xml:space="preserve">"MINT-Berufe" </t>
    </r>
    <r>
      <rPr>
        <sz val="9"/>
        <rFont val="Arial"/>
        <family val="2"/>
      </rPr>
      <t xml:space="preserve">
Kurzbeschreibung
Das spezifische Berufsaggregat "MINT-Berufe" umfasst alle Tätigkeiten, für deren Ausübung ein hoher Anteil an Kenntnissen aus den Bereichen Mathematik, 
Informatik, Naturwissenschaften und/oder Technik erforderlich ist. Dabei wird auch das Bauen und Instandhalten technischer Anlagen und Geräte als zentraler 
Bestandteil einer Tätigkeit zu den MINT-Qualifikationen gezählt. Das Berufsaggregat "MINT-Berufe" umfasst neben den hochqualifizierten MINT-Berufen auch die 
so genannten mittelqualifizierten MINT-Berufe
</t>
    </r>
    <r>
      <rPr>
        <u/>
        <sz val="9"/>
        <rFont val="Arial"/>
        <family val="2"/>
      </rPr>
      <t>Zugeordnete Berufe (Beispiele)</t>
    </r>
    <r>
      <rPr>
        <sz val="9"/>
        <rFont val="Arial"/>
        <family val="2"/>
      </rPr>
      <t xml:space="preserve">
Verfahrensmechaniker/in
IT-Administratoren/in
Chemielaborant/in
Ingenieur/in - Werkstofftechnik</t>
    </r>
  </si>
  <si>
    <t>hier finden Sie die ausführliche Beschreibung der "MINT-Berufe"</t>
  </si>
  <si>
    <r>
      <rPr>
        <b/>
        <sz val="9"/>
        <rFont val="Arial"/>
        <family val="2"/>
      </rPr>
      <t>"Pflegeberufe"</t>
    </r>
    <r>
      <rPr>
        <sz val="9"/>
        <rFont val="Arial"/>
        <family val="2"/>
      </rPr>
      <t xml:space="preserve">
Aufgrund der Anfang 2020 eingeführten generalistischen Ausbildung zur Pflegefachfrau bzw. zum Pflegefachmann kann in den Arbeitsmarktstatistiken ab diesem Zeitpunkt nicht mehr trennscharf zwischen Gesundheits- und Krankenpflege einerseits und Altenpflege andererseits unterschieden werden. Daher werden beide Bereiche standardmäßig als Aggregat dargestellt und berichtet. In der Regel wird dazu das Aggregat “Pflegeberufe“ mit den Systematikpositionen 
- 8130 Gesundheits-, Krankenpflege (o.S.), 
- 8131 Fachkrankenpflege, 
- 8132 Fachkinderkrankenpflege, 
- 8138 Gesundheits-, Krankenpflege (ssT), 
- 8139 Aufsicht, Führung – Pflege, Rettungsdienst, 
- 821 Altenpflege (einschließlich Führung) der Klassifikation der Berufe 2010 (KldB 2010) verwendet, 
Fach- und Assistenzkräfte in der operationstechnischen Assistenz, im Rettungsdienst sowie in der Geburtshilfe sind nicht enthalten. Für weitere Informationen siehe auch Hintergrundinfo "Pflegeberufe in den Arbeitsmarktstatistiken 07/2021“.</t>
    </r>
  </si>
  <si>
    <t xml:space="preserve">Weiterführende Informationen zur Klassifikation der Berufe 2010 finden Sie unter: </t>
  </si>
  <si>
    <t>https://statistik.arbeitsagentur.de/DE/Navigation/Grundlagen/Klassifikationen/Klassifikation-der-Berufe/Klassifikation-der-Berufe-Nav.html</t>
  </si>
  <si>
    <t>Stand: 18.09.2023</t>
  </si>
  <si>
    <t xml:space="preserve">Die Information über die Befristung wurde erstmals im Zuge der Umstellung des Tätigkeitsschlüssels (TS 2010) aufgenommen. Auswertungen sind rückwirkend ab Oktober 2012 möglich. 
</t>
  </si>
  <si>
    <r>
      <t xml:space="preserve">Eine Beschäftigung kann befristet oder unbefristet sein. Die genauen Definitionen lauten: 
• </t>
    </r>
    <r>
      <rPr>
        <b/>
        <sz val="9"/>
        <color indexed="8"/>
        <rFont val="Arial"/>
        <family val="2"/>
      </rPr>
      <t>Unbefristete Beschäftigung</t>
    </r>
    <r>
      <rPr>
        <sz val="9"/>
        <color indexed="8"/>
        <rFont val="Arial"/>
        <family val="2"/>
      </rPr>
      <t xml:space="preserve"> 
  Der Arbeitsvertrag wurde auf unbestimmte Zeit abgeschlossen. 
• </t>
    </r>
    <r>
      <rPr>
        <b/>
        <sz val="9"/>
        <color indexed="8"/>
        <rFont val="Arial"/>
        <family val="2"/>
      </rPr>
      <t>Befristete Beschäftigung</t>
    </r>
    <r>
      <rPr>
        <sz val="9"/>
        <color indexed="8"/>
        <rFont val="Arial"/>
        <family val="2"/>
      </rPr>
      <t xml:space="preserve"> 
  Der Arbeitsvertrag wurde auf bestimmte Zeit abgeschlossen (kalendermäßig befristete Arbeitsverträge oder 
  zweckbefristete Arbeitsverträge). 
</t>
    </r>
  </si>
  <si>
    <r>
      <rPr>
        <b/>
        <sz val="9"/>
        <color indexed="8"/>
        <rFont val="Arial"/>
        <family val="2"/>
      </rPr>
      <t xml:space="preserve">Befristung der begonnenen Beschäftigungsverhältnisse </t>
    </r>
    <r>
      <rPr>
        <sz val="9"/>
        <color indexed="8"/>
        <rFont val="Arial"/>
        <family val="2"/>
      </rPr>
      <t xml:space="preserve">
Die Befristung ist für begonnene Beschäftigungsverhältnisse auswertbar. Für Auswertungen empfiehlt sich ein eingeschränkter Personenkreis der sozialversicherungspflichtig Beschäftigten mit dem Ausschluss von Personengruppen, die eine an sich befristete Beschäftigung haben. Diese wären: 
</t>
    </r>
  </si>
  <si>
    <t xml:space="preserve">• sozialversicherungspflichtig Beschäftigte in Ausbildung 
• Praktikanten 
• Personen, die ein freiwilliges soziales, ein freiwilliges ökologisches Jahr oder einen Bundesfreiwilligendienst
  leisten 
• Teilnehmende an zeitlich befristeten arbeitsmarktpolitischen Maßnahmen bei einem Rehabilitationsträger 
  (Personengruppenschlüssel 204) 
</t>
  </si>
  <si>
    <r>
      <rPr>
        <b/>
        <sz val="9"/>
        <color indexed="8"/>
        <rFont val="Arial"/>
        <family val="2"/>
      </rPr>
      <t>Befristung der Beschäftigungsverhältnisse und Beschäftigten im Bestand</t>
    </r>
    <r>
      <rPr>
        <sz val="9"/>
        <color indexed="8"/>
        <rFont val="Arial"/>
        <family val="2"/>
      </rPr>
      <t xml:space="preserve"> 
Für den Bestand in Beschäftigung ergeben sich überhöhte Werte bei der Befristung. Dies hängt mit den Meldungen der Arbeitgeber zur Sozialversicherung zusammen. 
Zeitpunkt der Gültigkeit für die Angabe zur Befristung: 
</t>
    </r>
  </si>
  <si>
    <t xml:space="preserve">• Beginnzeitpunkt der Meldung bei Anmeldungen zur Sozialversicherung
• Endezeitpunkt der Meldung bei allen übrigen Meldungen 
</t>
  </si>
  <si>
    <t xml:space="preserve">Bei Anmeldungen einer sozialversicherungspflichtigen Beschäftigung ist die Angabe zur Befristung zum Beginnzeitpunkt der Meldung zu melden. Damit ist für begonnene Beschäftigungen eine gesicherte Aussage möglich. Im Jahresverlauf nimmt die Qualität der Angabe allerdings für laufende Beschäftigungen ab. Zudem ist es notwendig, dass die Arbeitgeber die Angabe zur Befristung bei jeder Meldung überprüfen und entsprechend aktualisieren, ansonsten werden die Befristungen bei länger bestehenden Beschäftigungen überzeichnet. In den Daten ist eine solche Überzeichnung festzustellen. Es gibt einen Teil an Arbeitgebern, die die Angabe nicht regelmäßig aktualisieren und damit steigt der Anteil der befristeten Beschäftigungen beim Bestand der Beschäftigten und der Beschäftigungsverhältnisse in der Statistik über die Zeit hinweg stetig leicht an. </t>
  </si>
  <si>
    <t>Weitere Informationen finden Sie im Methodenbericht "Befristete Beschäftigung":</t>
  </si>
  <si>
    <t>https://statistik.arbeitsagentur.de/DE/Statischer-Content/Grundlagen/Methodik-Qualitaet/Methodenberichte/Beschaeftigungsstatistik/Generische-Publikationen/Methodenbericht-Befristete-Beschaeftigung.pdf?__blob=publicationFile</t>
  </si>
  <si>
    <t xml:space="preserve">Im Gegensatz zu den Bestandsdaten der Beschäftigungsstatistik werden begonnene und beendete Beschäftigungsverhältnisse zeitraumbezogen ausgewertet (Monat, Quartal oder Jahr). Während beim Bestand an Beschäftigten eine Person – unabhängig von der Anzahl der Beschäftigungsverhältnisse – zum Stichtag nur einmal gezählt wird (Personenkonzept), ist es bei den Bewegungsdaten durchaus möglich, dass eine Person mehrfach gezählt wird (Fallkonzept). Dies ist der Fall, wenn die Person im Betrachtungszeitraum mehr als ein Beschäftigungsverhältnis beginnt bzw. beendet.
Ergebnisse zu den begonnenen und beendeten Beschäftigungsverhältnissen liegen mit einer Wartezeit von sechs Monaten vor. Eine Betrachtung ist in der Regel nur nach dem Arbeitsort sinnvoll, weil die Beschäftigungsverhältnisse sich primär auf den Sitz des Betriebes beziehen. Für bestimmte Fragestellungen, beispielsweise wenn die begonnenen Beschäftigungen den Arbeitslosen gegenüber gestellt werden, kann dennoch der Wohnort der Beschäftigten betrachtet werden.
</t>
  </si>
  <si>
    <r>
      <t xml:space="preserve">Ein </t>
    </r>
    <r>
      <rPr>
        <b/>
        <sz val="9"/>
        <color indexed="8"/>
        <rFont val="Arial"/>
        <family val="2"/>
      </rPr>
      <t>begonnenes Beschäftigungsverhältnis</t>
    </r>
    <r>
      <rPr>
        <sz val="9"/>
        <color indexed="8"/>
        <rFont val="Arial"/>
        <family val="2"/>
      </rPr>
      <t xml:space="preserve"> wird gezählt, wenn eine Anmeldung mit Abgabegrund „Anmeldung wegen Beginn einer Beschäftigung“ im Rahmen des Meldeverfahrens zur Sozialversicherung durch den Arbeitgeber abgegeben wurde, deren Beginn-Datum der Beschäftigung innerhalb des Betrachtungszeitraums liegt. Entsprechend wird ein </t>
    </r>
    <r>
      <rPr>
        <b/>
        <sz val="9"/>
        <color indexed="8"/>
        <rFont val="Arial"/>
        <family val="2"/>
      </rPr>
      <t>beendetes Beschäftigungsverhältnis</t>
    </r>
    <r>
      <rPr>
        <sz val="9"/>
        <color indexed="8"/>
        <rFont val="Arial"/>
        <family val="2"/>
      </rPr>
      <t xml:space="preserve"> gezählt, wenn eine Abmeldung mit Abgabegrund „Abmeldung wegen Ende einer Beschäftigung“ abgegeben wurde, deren Ende der Beschäftigung innerhalb des Betrachtungszeitraums liegt. 
Ein beendetes und ein begonnenes Beschäftigungsverhältnis werden aber auch dann gezählt, wenn ein Wechsel zwischen folgenden Beschäftigungsarten stattfindet:
  - sozialversicherungspflichtiges Ausbildungsverhältnis
  - sozialversicherungspflichtiges Beschäftigungsverhältnis (keine Ausbildung)
  - geringfügig entlohntes Beschäftigungsverhältnis
  - kurzfristiges Beschäftigungsverhältnis
So werden zum Beispiel immer dann ein beendetes und ein begonnenes Beschäftigungsverhältnis gezählt, wenn ein Beschäftigter seine Ausbildung beendet und anschließend weiterbeschäftigt wird. Dabei ist gleichgültig, ob dies beim selben oder bei einem anderen Arbeitgeber geschieht.
Gleichzeitige An- und Abmeldungen, welche das Meldeverfahren für bestimmte, im Voraus befristete Beschäftigungsverhältnisse vorsieht, werden generell als Beginn und Ende eines Beschäftigungsverhältnisses gezählt.</t>
    </r>
  </si>
  <si>
    <t xml:space="preserve">Damit ist das neue Messkonzept wesentlich genauer und bildet sämtliche Übergänge konsequent und vollständig ab. Zu beachten ist in diesem Zusammenhang auch, dass ein beendetes Beschäftigungsverhältnis nicht (wie vor der Revision 2014) am letzten Arbeitstag in der Statistik gezählt wird, sondern erst am Tag danach. So werden z. B. alle Beschäftigungsverhältnisse, welche mit Ablauf des 31.12. enden, erst im Januar als Abgang gezählt.
</t>
  </si>
  <si>
    <t xml:space="preserve">Bei der Bewertung der Zahl der begonnenen und beendeten Beschäftigungsverhältnisse ist zu berücksichtigen, dass aufgrund des Verfahrens zur Betriebsnummernvergabe z. B.
   - bei der Aufsplittung von Betrieben bzw. Betriebsstätten oder
   - bei der Fusion von Betrieben bzw. Betriebsstätten
unter Umständen eine Abmeldung und nachfolgende (Neu-)Anmeldung von Beschäftigten unter einer neuen Betriebsnummer durch den Arbeitgeber erfolgt. Die Beschäftigten haben ihren Arbeitsplatz jedoch nicht gewechselt, und auch das Beschäftigungsverhältnis wurde nicht unterbrochen. Faktisch ist also weder ein Beschäftigungsverhältnis beendet noch eines begonnen worden, die Bewegungen werden aber statistisch gezählt. 
Auch An- und Abmeldungen in Verbindung mit der Eröffnung eines Insolvenzverfahrens führen zu einer Überzeichnung der begonnenen und beendeten Beschäftigungsverhältnisse, soweit eine neue Betriebsnummer vergeben wird. 
</t>
  </si>
  <si>
    <r>
      <t xml:space="preserve">Neben den begonnenen und beendeten Beschäftigungsverhältnissen kann auch der </t>
    </r>
    <r>
      <rPr>
        <b/>
        <sz val="9"/>
        <color indexed="8"/>
        <rFont val="Arial"/>
        <family val="2"/>
      </rPr>
      <t>Bestand an Beschäftigungsverhältnissen</t>
    </r>
    <r>
      <rPr>
        <sz val="9"/>
        <color indexed="8"/>
        <rFont val="Arial"/>
        <family val="2"/>
      </rPr>
      <t xml:space="preserve"> (nicht zu verwechseln mit dem Bestand an Beschäftigten) zum Stichtag ausgewertet werden. Es sei an dieser Stelle darauf hingewiesen, dass die Formel „Bestand (t)“ = „Bestand (t-1)“ - „Abgang (t) “ + „Zugang (t)“ (Stock-Flow-Modell) nur dann aufgeht, wenn alle Komponenten aus einem Datenstand ermittelt werden. Da in der Beschäftigungsstatistik grundsätzlich mit 6 Monaten Wartezeit ausgewertet wird, ist dies nicht der Fall und obige Formel geht nicht auf. Die rechnerischen Abweichungen sind dabei gering, variieren aber von Stichtag zu Stichtag.</t>
    </r>
  </si>
  <si>
    <r>
      <rPr>
        <b/>
        <sz val="10"/>
        <color indexed="8"/>
        <rFont val="Arial"/>
        <family val="2"/>
      </rPr>
      <t>Datenschutz</t>
    </r>
    <r>
      <rPr>
        <b/>
        <sz val="9"/>
        <color indexed="8"/>
        <rFont val="Arial"/>
        <family val="2"/>
      </rPr>
      <t xml:space="preserve">
</t>
    </r>
    <r>
      <rPr>
        <sz val="9"/>
        <color indexed="8"/>
        <rFont val="Arial"/>
        <family val="2"/>
      </rPr>
      <t xml:space="preserve">Die Bestandsdaten der Beschäftigungsstatistik unterliegen grundsätzlich der Geheimhaltung nach § 16 BStatG. Eine Übermittlung von Einzelangaben ist daher ausgeschlossen. Aus diesem Grund werden Zahlenwerte unter 3 und Daten, aus denen sich rechnerisch eine Differenz ermitteln lässt, mit * anonymisiert. Gleiches gilt, wenn in einer Region oder in einem Wirtschaftszweig weniger als 3 Betriebe ansässig sind oder einer der Betriebe einen so hohen Beschäftigtenanteil auf sich vereint, dass die Beschäftigtenzahl praktisch eine Einzelangabe über diesen Betrieb darstellt (Dominanzfall). Grundsätzlich gelten auch bei den Bewegungsdaten die gleichen Regeln der statistischen Geheimhaltung wie bei den Bestandsdaten. Es ist daher eine Dominanzprüfung anzuwenden. Wenn im Bestand eine Geheimhaltung notwendig wird, so ist das in der Regel auch für die jeweiligen Bewegungsdaten anzunehmen. 
Für die Prüfung bei den begonnenen und beendeten Beschäftigungsverhältnissen wird der jeweilige Stichtag zum Quartalsende herangezogen. Bei Zeiträumen über mehrere Quartale hinweg wären alle Stichtage der Quartalsenden zu prüfen. Näherungsweise könnte auch die Prüfung eines repräsentativen Stichtages im Zeitraum herangezogen werden.  
</t>
    </r>
  </si>
  <si>
    <t xml:space="preserve">Weiterführende Informationen zur Statistik der sozialversicherungspflichtigen und geringfügigen Beschäftigung finden Sie unter:  </t>
  </si>
  <si>
    <t>https://statistik.arbeitsagentur.de/DE/Statischer-Content/Grundlagen/Methodik-Qualitaet/Qualitaetsberichte/Generische-Publikationen/Qualitaetsbericht-Statistik-Beschaeftigung.pdf?__blob=publicationFile</t>
  </si>
  <si>
    <t>Stand: 16.12.2024</t>
  </si>
  <si>
    <t>Methodische Hinweise zu Revisionen in der Beschäftigungsstatistik</t>
  </si>
  <si>
    <r>
      <t>Aufgrund</t>
    </r>
    <r>
      <rPr>
        <b/>
        <sz val="9"/>
        <rFont val="Arial"/>
        <family val="2"/>
      </rPr>
      <t xml:space="preserve"> </t>
    </r>
    <r>
      <rPr>
        <sz val="9"/>
        <rFont val="Arial"/>
        <family val="2"/>
      </rPr>
      <t xml:space="preserve">rückwirkender </t>
    </r>
    <r>
      <rPr>
        <b/>
        <sz val="9"/>
        <rFont val="Arial"/>
        <family val="2"/>
      </rPr>
      <t>Revisionen der Beschäftigungsstatistik</t>
    </r>
    <r>
      <rPr>
        <sz val="9"/>
        <rFont val="Arial"/>
        <family val="2"/>
      </rPr>
      <t xml:space="preserve"> können Daten von zuvor veröffentlichten Daten abweichen. Dies ist insbesondere beim Vergleich mit älteren Veröffentlichungen zu berücksichtigen.
Das </t>
    </r>
    <r>
      <rPr>
        <b/>
        <sz val="9"/>
        <rFont val="Arial"/>
        <family val="2"/>
      </rPr>
      <t>Revidieren von Daten</t>
    </r>
    <r>
      <rPr>
        <sz val="9"/>
        <rFont val="Arial"/>
        <family val="2"/>
      </rPr>
      <t xml:space="preserve">, d. h. die nachträgliche Änderung von bereits publizierten statistischen Daten, erfolgt anlassbezogen und unregelmäßig. Es behebt Fehler und verbessert die Genauigkeit. Dies kann erforderlich werden, weil sich rückwirkend eine wesentliche Änderung in der Datenquelle eines Statistikverfahrens ergeben hat oder weil ein Fehler in den statistischen Verarbeitungsregeln erkannt wurde. In beiden Fällen werden die statistischen Ergebnisse neu berechnet – auch für zurückliegende Berichtszeiträume. Ab dem Revisionszeitpunkt erstellte Publikationen enthalten – sofern möglich – auch rückwirkend neue Ergebnisse und einen entsprechenden Hinweis.
Davon abzugrenzen ist die </t>
    </r>
    <r>
      <rPr>
        <b/>
        <sz val="9"/>
        <rFont val="Arial"/>
        <family val="2"/>
      </rPr>
      <t>Festschreibung vorläufiger Ergebnisse</t>
    </r>
    <r>
      <rPr>
        <sz val="9"/>
        <rFont val="Arial"/>
        <family val="2"/>
      </rPr>
      <t xml:space="preserve"> in endgültige Ergebnisse nach Wartezeiten von üblicherweise sechs Monaten. Sie erfolgt regelmäßig und wird nicht gesondert kommuniziert.
Im folgenden sind die Revisionen der Beschäftigungsstatistik kurz erläutert. </t>
    </r>
  </si>
  <si>
    <r>
      <rPr>
        <b/>
        <sz val="10"/>
        <rFont val="Arial"/>
        <family val="2"/>
      </rPr>
      <t>Revision 2023</t>
    </r>
    <r>
      <rPr>
        <sz val="10"/>
        <rFont val="Arial"/>
        <family val="2"/>
      </rPr>
      <t xml:space="preserve"> </t>
    </r>
    <r>
      <rPr>
        <sz val="9"/>
        <rFont val="Arial"/>
        <family val="2"/>
      </rPr>
      <t xml:space="preserve">(Veröffentlichung ab Dezember 2023) </t>
    </r>
    <r>
      <rPr>
        <sz val="10"/>
        <rFont val="Arial"/>
        <family val="2"/>
      </rPr>
      <t xml:space="preserve">
</t>
    </r>
    <r>
      <rPr>
        <sz val="9"/>
        <rFont val="Arial"/>
        <family val="2"/>
      </rPr>
      <t xml:space="preserve">Im Fokus der Revision stand eine verbesserte regionale Abbildung von Beschäftigten nach dem </t>
    </r>
    <r>
      <rPr>
        <b/>
        <sz val="9"/>
        <rFont val="Arial"/>
        <family val="2"/>
      </rPr>
      <t>Arbeits- und Wohnort</t>
    </r>
    <r>
      <rPr>
        <sz val="9"/>
        <rFont val="Arial"/>
        <family val="2"/>
      </rPr>
      <t xml:space="preserve">. Die Ermittlung des Arbeitsortes wurde um die Verwendung von georeferenzierten Adressdaten des </t>
    </r>
    <r>
      <rPr>
        <b/>
        <sz val="9"/>
        <rFont val="Arial"/>
        <family val="2"/>
      </rPr>
      <t>Bundesamtes für Kartographie und Geodäsie</t>
    </r>
    <r>
      <rPr>
        <sz val="9"/>
        <rFont val="Arial"/>
        <family val="2"/>
      </rPr>
      <t xml:space="preserve"> ergänzt. Dadurch erfolgte insbesondere für Gewerbe- und Industriegebiete, die sich über mehrere Gemeinden erstrecken, eine präzisere Zuordnung. Bei der Wohnortzuordnung kam es bisher insbesondere nach Gebietsreformen zu Ausfällen. Diese wurden mit der Revision zu einem Großteil durch verbesserte Regelwerke bei der Verarbeitung der Daten behoben. Die Anzahl der sozialversicherungspflichtig Beschäftigten </t>
    </r>
    <r>
      <rPr>
        <b/>
        <sz val="9"/>
        <rFont val="Arial"/>
        <family val="2"/>
      </rPr>
      <t>ohne Wohnortzuordnung</t>
    </r>
    <r>
      <rPr>
        <sz val="9"/>
        <rFont val="Arial"/>
        <family val="2"/>
      </rPr>
      <t xml:space="preserve"> reduzierte sich dadurch um mehr als die Hälfte. Die Arbeitsortdaten wurden für den Zeitraum ab Januar 2018 und die Wohnortdaten ab Januar 2013 revidiert. Es handelte sich um eine partielle Revision, da die Anzahl von Beschäftigten und Beschäftigungsbetrieben insgesamt unverändert blieb. 
Ergänzend dazu sind kleinere Anpassungen vorgenommen worden, welche die Qualität der Beschäftigungsstatistik erhöhten. Diese betreffen die Einteilung der Voll- und Teilzeitbeschäftigung sowie die Gliederung nach dem Wirtschaftszweig. Nähere Informationen sind zu finden im Methodenbericht:</t>
    </r>
  </si>
  <si>
    <t>Beschäftigungsstatistik – partielle Revision 2023</t>
  </si>
  <si>
    <r>
      <t>Revision 2017</t>
    </r>
    <r>
      <rPr>
        <sz val="9"/>
        <rFont val="Arial"/>
        <family val="2"/>
      </rPr>
      <t xml:space="preserve"> (Veröffentlichung ab Januar 2018)
Im Jahr 2016 sind aufgrund eines technischen Problems im Datenverarbeitungsprozess in größerem Umfang </t>
    </r>
    <r>
      <rPr>
        <b/>
        <sz val="9"/>
        <rFont val="Arial"/>
        <family val="2"/>
      </rPr>
      <t>Arbeitgebermeldungen zur Sozialversicherung</t>
    </r>
    <r>
      <rPr>
        <sz val="9"/>
        <rFont val="Arial"/>
        <family val="2"/>
      </rPr>
      <t xml:space="preserve"> nicht in die Statistik-Datenverarbeitung eingeflossen. Diese Meldungen wurden im Jahr 2017 nachträglich aufgenommen und die Ergebnisse der Beschäftigungsstatistik ab August  2015 neu ermittelt. Zuvor waren insbesondere die </t>
    </r>
    <r>
      <rPr>
        <b/>
        <sz val="9"/>
        <rFont val="Arial"/>
        <family val="2"/>
      </rPr>
      <t>begonnenen und beendeten</t>
    </r>
    <r>
      <rPr>
        <sz val="9"/>
        <rFont val="Arial"/>
        <family val="2"/>
      </rPr>
      <t xml:space="preserve"> sozialversicherungspflichtigen Beschäftigungsverhältnisse im 1. Quartal 2016 untererfasst, der Bestand der Berichtsmonate Juni und Juli 2016 sowie die beendeten Beschäftigungsverhältnisse im 2. und 3. Quartal 2016 überzeichnet. 
Im Zuge der Revision 2017 wurde zudem eine Lücke (von Januar 2011 bis September 2012) in der Berichterstattung der sozialversicherungspflichtig Beschäftigten zum</t>
    </r>
    <r>
      <rPr>
        <b/>
        <sz val="9"/>
        <rFont val="Arial"/>
        <family val="2"/>
      </rPr>
      <t xml:space="preserve"> Merkmal Arbeitszeit</t>
    </r>
    <r>
      <rPr>
        <sz val="9"/>
        <rFont val="Arial"/>
        <family val="2"/>
      </rPr>
      <t xml:space="preserve"> (Vollzeit/Teilzeit) durch ein Hochrechnungsverfahren  geschlossen. Angaben zu Vollzeit- und Teilzeitbeschäftigung stehen damit durchgängig für alle Berichtsmonate zur Verfügung. Ausführliche Informationen finden Sie im Methodenbericht:</t>
    </r>
  </si>
  <si>
    <t>Revision der Beschäftigungsstatistik 2017</t>
  </si>
  <si>
    <r>
      <rPr>
        <b/>
        <sz val="10"/>
        <rFont val="Arial"/>
        <family val="2"/>
      </rPr>
      <t>Revision 2014</t>
    </r>
    <r>
      <rPr>
        <b/>
        <sz val="9"/>
        <rFont val="Arial"/>
        <family val="2"/>
      </rPr>
      <t xml:space="preserve"> </t>
    </r>
    <r>
      <rPr>
        <sz val="9"/>
        <rFont val="Arial"/>
        <family val="2"/>
      </rPr>
      <t xml:space="preserve">(Veröffentlichung ab August 2014) 
Im Jahr 2014 hat die Statistik der Bundesagentur für Arbeit die Datenaufbereitung für die </t>
    </r>
    <r>
      <rPr>
        <b/>
        <sz val="9"/>
        <rFont val="Arial"/>
        <family val="2"/>
      </rPr>
      <t>Beschäftigungsstatistik modernisiert</t>
    </r>
    <r>
      <rPr>
        <sz val="9"/>
        <rFont val="Arial"/>
        <family val="2"/>
      </rPr>
      <t xml:space="preserve">, um genauere Ergebnisse zu erzielen und die Beschäftigungsstatistik weiter ausbauen zu können. Der Datenabgriff wurde präzisiert, die Abgrenzung der sozialversicherungspflichtigen Beschäftigung überprüft und um weitere Personengruppen ergänzt.
</t>
    </r>
  </si>
  <si>
    <r>
      <t xml:space="preserve">Die Beschäftigungsdaten wurden </t>
    </r>
    <r>
      <rPr>
        <b/>
        <sz val="9"/>
        <rFont val="Arial"/>
        <family val="2"/>
      </rPr>
      <t>rückwirkend ab 1999</t>
    </r>
    <r>
      <rPr>
        <sz val="9"/>
        <rFont val="Arial"/>
        <family val="2"/>
      </rPr>
      <t xml:space="preserve"> revidiert. Dadurch wird eine Vergleichbarkeit der Ergebnisse im Zeitverlauf ermöglicht. Auf den Bestand der Beschäftigten wirken sich vor allem die neu hinzugekommenen Personengruppen aus, während für die begonnenen und beendeten Beschäftigungsverhältnisse größtenteils der verfeinerte Datenabgriff den Unterschied zu den bisherigen Ergebnissen erklärt.</t>
    </r>
  </si>
  <si>
    <r>
      <t xml:space="preserve">Die Revision führte durch die </t>
    </r>
    <r>
      <rPr>
        <b/>
        <sz val="9"/>
        <rFont val="Arial"/>
        <family val="2"/>
      </rPr>
      <t>Einbeziehung weiterer Personengruppen</t>
    </r>
    <r>
      <rPr>
        <sz val="9"/>
        <rFont val="Arial"/>
        <family val="2"/>
      </rPr>
      <t xml:space="preserve"> zu einer Erhöhung des Bestands. Die neu hinzugekommenen Beschäftigten in Werkstätten für behinderte Menschen wirken sich vor allem auf den Wirtschaftsabschnitt „Q Gesundheits- und Sozialwesen“ aus. Für diese Personengruppe liegen ab dem Meldezeitraum Dezember 2014 Informationen zur ausgeübten Tätigkeit vor. In der Statistik nehmen daher bei den 6-Monatswerten ab Juli 2014 die fehlenden Angaben zur Tätigkeit sukzessive ab. Die Erweiterung um Personen, die ein freiwilliges soziales oder ökologisches Jahr oder einen Bundesfreiwilligendienst leisten, spiegelt sich vor allem im Berufsbereich „Gesundheit, Soziales, Lehre und Erziehung“ wider. Weiterführende Informationen siehe Methodenbericht:</t>
    </r>
  </si>
  <si>
    <t>Beschäftigungsstatistik Revision 2014</t>
  </si>
  <si>
    <t>Stand: 31.07.2025</t>
  </si>
  <si>
    <t>Methodische Hinweise zu sozialversicherungspflichtig und 
geringfügig Beschäftigten</t>
  </si>
  <si>
    <r>
      <rPr>
        <b/>
        <sz val="9"/>
        <color rgb="FF000000"/>
        <rFont val="Arial"/>
        <family val="2"/>
      </rPr>
      <t>Grundlage der Statistik</t>
    </r>
    <r>
      <rPr>
        <sz val="9"/>
        <color rgb="FF000000"/>
        <rFont val="Arial"/>
        <family val="2"/>
      </rPr>
      <t xml:space="preserve"> bildet das Meldeverfahren zur Sozialversicherung, in das alle Arbeitnehmer (einschließlich der zu ihrer Berufsausbildung Beschäftigten) einbezogen sind, die der Kranken- oder Rentenversicherungspflicht oder der Versicherungspflicht nach dem SGB III unterliegen.  Auf Basis der Meldungen zur Sozialversicherung durch die Betriebe wird monatlich (stichtagsbezogen) mit 6 Monaten Wartezeit der Bestand an sozialversicherungspflichtig und geringfügig Beschäftigten ermittelt.</t>
    </r>
  </si>
  <si>
    <r>
      <rPr>
        <b/>
        <sz val="9"/>
        <color rgb="FF000000"/>
        <rFont val="Arial"/>
        <family val="2"/>
      </rPr>
      <t>Sozialversicherungspflichtig Beschäftigte</t>
    </r>
    <r>
      <rPr>
        <sz val="9"/>
        <color rgb="FF000000"/>
        <rFont val="Arial"/>
        <family val="2"/>
      </rPr>
      <t xml:space="preserve"> umfassen alle Arbeitnehmer, die kranken-, renten-, pflegeversicherungspflichtig und/oder beitragspflichtig nach dem Recht der Arbeitsförderung sind oder für die Beitragsanteile zur gesetzlichen  Rentenversicherung oder nach dem Recht der Arbeitsförderung zu zahlen sind. Dazu gehören insbesondere auch Auszubildende, Altersteilzeitbeschäftigte, Praktikanten, Werkstudenten und Personen, die aus einem sozialversicherungspflichtigen Beschäftigungsverhältnis zur Ableistung  von gesetzlichen Dienstpflichten (z. B.  Wehrübung) einberufen werden.  Nicht  zu den sozialversicherungspflichtig Beschäftigten zählen dagegen  Beamte, Selbstständige, mithelfende Familienangehörige, Berufs- und Zeitsoldaten, sowie Wehr- und Zivildienstleistende (siehe  o. g. Ausnahme). 
</t>
    </r>
  </si>
  <si>
    <r>
      <t xml:space="preserve">Als </t>
    </r>
    <r>
      <rPr>
        <b/>
        <sz val="9"/>
        <color theme="1"/>
        <rFont val="Arial"/>
        <family val="2"/>
      </rPr>
      <t>Midijobs</t>
    </r>
    <r>
      <rPr>
        <sz val="9"/>
        <color theme="1"/>
        <rFont val="Arial"/>
        <family val="2"/>
      </rPr>
      <t xml:space="preserve"> bezeichnet man Beschäftigungsverhältnisse mit einem Arbeitsentgelt im Übergangsbereich (vor dem 01.07.2019 wurde dieser Gleitzone genannt).</t>
    </r>
  </si>
  <si>
    <t>Der Übergangsbereich für Midijobs wird regelmäßig vom Gesetzgeber angepasst:</t>
  </si>
  <si>
    <t>Um Midijobber im Übergangsbereich als Geringverdiener zu entlasten, resultieren die Arbeitnehmeranteile aus einer reduzierten Bemessungsgrundlage. Bis zum 30.06.2019 führte die Reduzierung der Arbeitnehmerbeiträge zur Rentenversicherung bei Midijobs auch zu geminderten Rentenansprüchen, es sei denn, der Beschäftigte hat auf die Anwendung der Gleitzonenregelung in der Rentenversicherung ausdrücklich verzichtet. Dies ist im Übergangsbereich seit dem 01.07.2019 nicht mehr der Fall. Die verminderte Beitragsbemessungsgrundlage spielt für die Entgeltpunkte in der Rentenversicherung keine Rolle mehr. Damit entfällt auch die Notwendigkeit für Arbeitnehmer, auf die Anwendung der Gleitzone in der Rentenversicherung zu verzichten, um Rentennachteile zu vermeiden.</t>
  </si>
  <si>
    <t>In der Statistik über Midijobs wird unterschieden nach:
- Monatliches Arbeitsentgelt liegt durchgehend innerhalb des Übergangsbereichs.
- Monatliches Arbeitsentgelt liegt sowohl innerhalb als auch außerhalb des Übergangsbereichs („Mischfälle“).
Auswertungen zu den Midijobs können nicht quartalsweise, sondern nur zum Stichtag 31.12. vorgenommen werden. Nur für diesen Stichtag liegen weitgehend vollzählige Angaben über Beschäftigungen im Übergangsbereich vor. Auswertungen zu den Midijobs liegen ab dem Stichtag 31.12.2003 vor.</t>
  </si>
  <si>
    <r>
      <t>Zu den</t>
    </r>
    <r>
      <rPr>
        <b/>
        <sz val="9"/>
        <color rgb="FF000000"/>
        <rFont val="Arial"/>
        <family val="2"/>
      </rPr>
      <t xml:space="preserve"> geringfügigen Beschäftigungsverhältnissen</t>
    </r>
    <r>
      <rPr>
        <sz val="9"/>
        <color rgb="FF000000"/>
        <rFont val="Arial"/>
        <family val="2"/>
      </rPr>
      <t xml:space="preserve"> zählen Arbeitsverhältnisse mit einem niedrigen Lohn (</t>
    </r>
    <r>
      <rPr>
        <b/>
        <sz val="9"/>
        <color rgb="FF000000"/>
        <rFont val="Arial"/>
        <family val="2"/>
      </rPr>
      <t>geringfügig entlohnte Beschäftigung</t>
    </r>
    <r>
      <rPr>
        <sz val="9"/>
        <color rgb="FF000000"/>
        <rFont val="Arial"/>
        <family val="2"/>
      </rPr>
      <t>) oder mit einer kurzen Dauer (kurzfristige Beschäftigung). Beide werden auch als "</t>
    </r>
    <r>
      <rPr>
        <b/>
        <sz val="9"/>
        <color rgb="FF000000"/>
        <rFont val="Arial"/>
        <family val="2"/>
      </rPr>
      <t>Minijob</t>
    </r>
    <r>
      <rPr>
        <sz val="9"/>
        <color rgb="FF000000"/>
        <rFont val="Arial"/>
        <family val="2"/>
      </rPr>
      <t>" bezeichnet.</t>
    </r>
  </si>
  <si>
    <r>
      <t xml:space="preserve">Eine </t>
    </r>
    <r>
      <rPr>
        <b/>
        <sz val="9"/>
        <color rgb="FF000000"/>
        <rFont val="Arial"/>
        <family val="2"/>
      </rPr>
      <t>geringfügig entlohnte Beschäftigung</t>
    </r>
    <r>
      <rPr>
        <sz val="9"/>
        <color rgb="FF000000"/>
        <rFont val="Arial"/>
        <family val="2"/>
      </rPr>
      <t xml:space="preserve"> nach § 8 Abs. 1 Nr. 1 SGB IV liegt vor, wenn das Arbeitsentgelt aus dieser Beschäftigung (§ 14 SGB IV) regelmäßig im Monat die Geringfügigkeitsgrenze nicht überschreitet.</t>
    </r>
  </si>
  <si>
    <t>Regelmäßig bedeutet, dass, wenn die Grenze nur gelegentlich und nicht vorhersehbar überschritten wird, trotzdem eine geringfügig entlohnte Beschäftigung vorliegt.
Eine Berichterstattung der ausschließlich geringfügig entlohnten Beschäftigten erfolgt seit dem Stichtag 30.06.1999,  geringfügig entlohnte Beschäftigte im Nebenjob können ab dem Stichtag 30.06.2003 ausgewertet werden.</t>
  </si>
  <si>
    <r>
      <t>Auch die</t>
    </r>
    <r>
      <rPr>
        <b/>
        <sz val="9"/>
        <color rgb="FF000000"/>
        <rFont val="Arial"/>
        <family val="2"/>
      </rPr>
      <t xml:space="preserve"> Minijob-Zentrale der Deutschen Rentenversicherung Knappschaft-Bahn-See</t>
    </r>
    <r>
      <rPr>
        <sz val="9"/>
        <color rgb="FF000000"/>
        <rFont val="Arial"/>
        <family val="2"/>
      </rPr>
      <t xml:space="preserve"> veröffentlicht Daten über geringfügig entlohnte Beschäftigte im Rahmen eines vierteljährlichen Geschäftsberichts. Diese Daten stellen keine amtliche Statistik dar und sind nicht geeignet, statistische Aussagen über die Entwicklung der Arbeitsmarkt- und Beschäftigungssituation in Deutschland zu treffen. Ebenso wenig sind sie eine verlässliche Grundlage für Erwerbstätigenrechnungen oder Volkswirtschaftliche Gesamtrechnungen (VGR). Sie liefern vielmehr Informationen über die Geschäftsprozesse der Minijob-Zentrale; es handelt sich somit um Geschäftsdaten. Daher sind die Daten auch nicht mit den statistischen Daten der BA, welche die amtliche Statistik über geringfügig entlohnte Beschäftigte führt, vergleichbar.</t>
    </r>
  </si>
  <si>
    <r>
      <t xml:space="preserve">Eine </t>
    </r>
    <r>
      <rPr>
        <b/>
        <sz val="9"/>
        <color rgb="FF000000"/>
        <rFont val="Arial"/>
        <family val="2"/>
      </rPr>
      <t>kurzfristige Beschäftigung</t>
    </r>
    <r>
      <rPr>
        <sz val="9"/>
        <color rgb="FF000000"/>
        <rFont val="Arial"/>
        <family val="2"/>
      </rPr>
      <t xml:space="preserve"> nach § 8 Abs. 1 Nr. 2 SGB IV liegt vor, wenn die Beschäftigung für eine Zeitdauer ausgeübt wird, die im Laufe eines Kalenderjahres, oder auch kalenderjahrüberschreitend, auf nicht mehr als drei Monate oder insgesamt 70 Arbeitstage nach ihrer Eigenart begrenzt zu sein pflegt oder im Voraus vertraglich (z. B. durch einen auf längstens ein Jahr befristeten Rahmenarbeitsvertrag) begrenzt ist (im Zeitraum vor dem 01.01.2015 lagen die Fristen bei zwei Monaten oder insgesamt 50 Arbeitstagen). 
</t>
    </r>
    <r>
      <rPr>
        <b/>
        <sz val="9"/>
        <color rgb="FF000000"/>
        <rFont val="Arial"/>
        <family val="2"/>
      </rPr>
      <t>Übergangsregelungen</t>
    </r>
    <r>
      <rPr>
        <sz val="9"/>
        <color rgb="FF000000"/>
        <rFont val="Arial"/>
        <family val="2"/>
      </rPr>
      <t xml:space="preserve">: Aufgrund der </t>
    </r>
    <r>
      <rPr>
        <b/>
        <sz val="9"/>
        <color rgb="FF000000"/>
        <rFont val="Arial"/>
        <family val="2"/>
      </rPr>
      <t>Corona-Pandemie</t>
    </r>
    <r>
      <rPr>
        <sz val="9"/>
        <color rgb="FF000000"/>
        <rFont val="Arial"/>
        <family val="2"/>
      </rPr>
      <t xml:space="preserve"> sind die Zeitgrenzen für kurzfristige Beschäftigungen übergangsweise neu geregelt worden. Für die Zeit vom 01.03.2020 bis 31.10.2020 galten die Zeitgrenzen von fünf Monaten oder 115 Arbeitstagen. Für die Zeit vom 01.03.2021 bis 31.10.2021 galten die Zeitgrenzen von vier Monaten oder 102 Arbeitstagen.
Auswertungen zu ausschließlich kurzfristig Beschäftigten sind ab Januar 2000 möglich. Kurzfristig Beschäftigte insgesamt sowie kurzfristig Beschäftigte im Nebenjob sind ab April 2003 auswertbar.
Diese weitere Unterteilung der Daten über kurzfristig Beschäftigte in ausschließlich und im Nebenjob kurzfristig Beschäftigte ist allerdings aus Geheimhaltungsgründen nicht zu empfehlen, da die Fallzahlen relativ gering sind.</t>
    </r>
  </si>
  <si>
    <r>
      <t>Werden von einer Person</t>
    </r>
    <r>
      <rPr>
        <b/>
        <sz val="9"/>
        <color rgb="FF000000"/>
        <rFont val="Arial"/>
        <family val="2"/>
      </rPr>
      <t xml:space="preserve"> mehrere geringfügige Beschäftigungen</t>
    </r>
    <r>
      <rPr>
        <sz val="9"/>
        <color rgb="FF000000"/>
        <rFont val="Arial"/>
        <family val="2"/>
      </rPr>
      <t xml:space="preserve"> ausgeübt, gelten folgende Regeln:
1. Eine geringfügig entlohnte Beschäftigung ist neben einer kurzfristigen Beschäftigung erlaubt.
2. Bei der gleichzeitigen Ausübung von mehreren geringfügig entlohnten Beschäftigungen darf die 
    Geringfügigkeitsgrenze nicht überschritten werden. 
3. Bei der Ausübung von mehreren kurzfristigen Beschäftigungen darf die Zeitgrenze, innerhalb 
    des vorgegebenen Zeitraumes, nicht überschritten werden.
                                                                                                                                                                                                </t>
    </r>
  </si>
  <si>
    <t>Neben einer nicht geringfügigen versicherungspflichtigen (Haupt-)Beschäftigung ist die Ausübung einer geringfügigen (Neben-)Beschäftigung zulässig. Für den Fall, dass ein Arbeitnehmer neben einer nicht geringfügigen versicherungspflichtigen Beschäftigung bei anderen Arbeitgebern geringfügig entlohnte Beschäftigungen ausübt, gilt für die Bereiche der Kranken-, Pflege- und Rentenversicherung, dass geringfügig entlohnte Beschäftigungen - mit Ausnahme einer geringfügig entlohnten Beschäftigung - mit einer nicht geringfügigen versicherungspflichtigen Beschäftigung zusammenzurechnen sind. Vgl. Richtlinien für die versicherungsrechtliche Beurteilung von geringfügigen Beschäftigungen (Geringfügigkeits-Richtlinien) vom 20. Dezember 2012.</t>
  </si>
  <si>
    <r>
      <rPr>
        <b/>
        <sz val="9"/>
        <color rgb="FF000000"/>
        <rFont val="Arial"/>
        <family val="2"/>
      </rPr>
      <t>Mehrfachbeschäftigte</t>
    </r>
    <r>
      <rPr>
        <sz val="9"/>
        <color rgb="FF000000"/>
        <rFont val="Arial"/>
        <family val="2"/>
      </rPr>
      <t>, die gleichzeitig zwei oder mehr geringfügigen Beschäftigungen nachgehen, werden nur nach den Merkmalen der zuletzt aufgenommenen Beschäftigung ausgewiesen.</t>
    </r>
  </si>
  <si>
    <t>Die erhobenen Daten unterliegen grundsätzlich der Geheimhaltung nach § 16 BStatG. Eine Übermittlung von Einzelangaben ist daher ausgeschlossen. Aus diesem Grund werden Zahlenwerte unter 3 und Daten, aus denen sich rechnerisch eine Differenz ermitteln lässt, mit * anonymisiert. Gleiches gilt, wenn in einer Region oder in einem Wirtschaftszweig weniger als 3 Betriebe ansässig sind oder einer der Betriebe einen so hohen Beschäftigtenanteil auf sich vereint, dass die Beschäftigtenzahl praktisch eine Einzelangabe über diesen Betrieb darstellt (Dominanzfall). Hierbei gilt: Bei 3 bis 9 Betrieben, die hinter einer Beschäftigtenzahl stehen, darf keiner der Betriebe 50 oder mehr Prozent der Beschäftigten auf sich vereinen. Bei 10 oder mehr Betrieben dürfen auf keinen Betrieb 85 oder mehr Prozent der Beschäftigten entfallen.</t>
  </si>
  <si>
    <t xml:space="preserve">Weiterführende Informationen zur Statistik der sozialversicherungspflichtigen und geringfügigen Beschäftigung finden Sie unter: </t>
  </si>
  <si>
    <t>Qualitaetsbericht-Statistik-Beschaeftigung.pdf</t>
  </si>
  <si>
    <t>Balken</t>
  </si>
  <si>
    <t>Beschriftung 1</t>
  </si>
  <si>
    <t>Beschriftung 2</t>
  </si>
  <si>
    <t>Werte 2</t>
  </si>
  <si>
    <t>Werte Trennlinie</t>
  </si>
  <si>
    <t>SvB</t>
  </si>
  <si>
    <t>GeB</t>
  </si>
  <si>
    <t>SvB y-Wert</t>
  </si>
  <si>
    <t>SvB x-Wert</t>
  </si>
  <si>
    <t>GeB y-Wert</t>
  </si>
  <si>
    <t>GeB x-Wert</t>
  </si>
  <si>
    <t>Position y-Wert</t>
  </si>
  <si>
    <t>Kreis</t>
  </si>
  <si>
    <t>BL</t>
  </si>
  <si>
    <t>W/O</t>
  </si>
  <si>
    <t>D</t>
  </si>
  <si>
    <t>WZ</t>
  </si>
  <si>
    <t>Tabelle 4</t>
  </si>
  <si>
    <t>Stichtag</t>
  </si>
  <si>
    <t>Index 2003 = 100 %</t>
  </si>
  <si>
    <t>Beschriftung x-Achse</t>
  </si>
  <si>
    <t>Beschriftung Reihen</t>
  </si>
  <si>
    <t>keine Daten</t>
  </si>
  <si>
    <t>Diagrammdarstellung wegen fehlender Daten nicht möglich.</t>
  </si>
  <si>
    <t>Juni 2019</t>
  </si>
  <si>
    <t>Dezember 2019</t>
  </si>
  <si>
    <t>März 2020</t>
  </si>
  <si>
    <t>Juni 2020</t>
  </si>
  <si>
    <t>Dezember 2020</t>
  </si>
  <si>
    <t>März 2021</t>
  </si>
  <si>
    <t>Juni 2021</t>
  </si>
  <si>
    <t>Dezember 2021</t>
  </si>
  <si>
    <t>März 2022</t>
  </si>
  <si>
    <t>Juni 2022</t>
  </si>
  <si>
    <t>Dezember 2022</t>
  </si>
  <si>
    <t>März 2023</t>
  </si>
  <si>
    <t>Juni 2023</t>
  </si>
  <si>
    <t>Dezember 2023</t>
  </si>
  <si>
    <t>März 2024</t>
  </si>
  <si>
    <t>Juni 2024</t>
  </si>
  <si>
    <t>Dezember 2024</t>
  </si>
  <si>
    <t>März 2025</t>
  </si>
  <si>
    <t>Juni 2025</t>
  </si>
  <si>
    <t>Stand: 11.04.2025</t>
  </si>
  <si>
    <t>Statistik-Infoseite</t>
  </si>
  <si>
    <t>Im Internet stehen statistische Informationen zu diesen Themen zur Verfügung:</t>
  </si>
  <si>
    <t>Fachstatistiken:</t>
  </si>
  <si>
    <t>Arbeitsuche, Arbeitslosigkeit und Unterbeschäftigung</t>
  </si>
  <si>
    <t>Ausbildungsmarkt</t>
  </si>
  <si>
    <t>Beschäftigung</t>
  </si>
  <si>
    <t>Einnahmen/Ausgaben</t>
  </si>
  <si>
    <t>Förderung und berufliche Rehabilitation</t>
  </si>
  <si>
    <t>Gemeldete Arbeitsstellen</t>
  </si>
  <si>
    <t>Grundsicherung für Arbeitsuchende (SGB II)</t>
  </si>
  <si>
    <t>Leistungen SGB III</t>
  </si>
  <si>
    <t>Themen im Fokus:</t>
  </si>
  <si>
    <t>Berufe</t>
  </si>
  <si>
    <t>Bildung</t>
  </si>
  <si>
    <t>Demografie</t>
  </si>
  <si>
    <t>Eingliederungsbilanzen</t>
  </si>
  <si>
    <t>Entgelt</t>
  </si>
  <si>
    <t>Fachkräftebedarf</t>
  </si>
  <si>
    <t>Familien und Kinder</t>
  </si>
  <si>
    <t>Frauen und Männer</t>
  </si>
  <si>
    <t>Jüngere</t>
  </si>
  <si>
    <t>Langzeitarbeitslosigkeit</t>
  </si>
  <si>
    <t>Menschen mit Behinderungen</t>
  </si>
  <si>
    <t>Migration</t>
  </si>
  <si>
    <t>Regionale Mobilität</t>
  </si>
  <si>
    <t>Transformation</t>
  </si>
  <si>
    <t>Ukraine-Krieg</t>
  </si>
  <si>
    <t>Wirtschaftszweige</t>
  </si>
  <si>
    <t>Zeitarbeit</t>
  </si>
  <si>
    <r>
      <rPr>
        <sz val="10"/>
        <rFont val="Arial"/>
        <family val="2"/>
      </rPr>
      <t xml:space="preserve">Die </t>
    </r>
    <r>
      <rPr>
        <u/>
        <sz val="10"/>
        <color indexed="12"/>
        <rFont val="Arial"/>
        <family val="2"/>
      </rPr>
      <t>Methodischen Hinweise</t>
    </r>
    <r>
      <rPr>
        <sz val="10"/>
        <rFont val="Arial"/>
        <family val="2"/>
      </rPr>
      <t xml:space="preserve"> der Statistik bieten ergänzende Informationen.</t>
    </r>
  </si>
  <si>
    <r>
      <rPr>
        <sz val="10"/>
        <rFont val="Arial"/>
        <family val="2"/>
      </rPr>
      <t xml:space="preserve">Die </t>
    </r>
    <r>
      <rPr>
        <u/>
        <sz val="10"/>
        <color indexed="12"/>
        <rFont val="Arial"/>
        <family val="2"/>
      </rPr>
      <t>Qualitätsberichte</t>
    </r>
    <r>
      <rPr>
        <sz val="10"/>
        <rFont val="Arial"/>
        <family val="2"/>
      </rPr>
      <t xml:space="preserve"> der Statistik erläutern die Entstehung und Aussagekraft der jeweiligen Fachstatistik.</t>
    </r>
  </si>
  <si>
    <r>
      <rPr>
        <sz val="10"/>
        <rFont val="Arial"/>
        <family val="2"/>
      </rPr>
      <t>Das</t>
    </r>
    <r>
      <rPr>
        <sz val="10"/>
        <color rgb="FF0000FF"/>
        <rFont val="Arial"/>
        <family val="2"/>
      </rPr>
      <t xml:space="preserve"> </t>
    </r>
    <r>
      <rPr>
        <u/>
        <sz val="10"/>
        <color indexed="12"/>
        <rFont val="Arial"/>
        <family val="2"/>
      </rPr>
      <t>Glossar</t>
    </r>
    <r>
      <rPr>
        <sz val="10"/>
        <color rgb="FF0000FF"/>
        <rFont val="Arial"/>
        <family val="2"/>
      </rPr>
      <t xml:space="preserve"> </t>
    </r>
    <r>
      <rPr>
        <sz val="10"/>
        <rFont val="Arial"/>
        <family val="2"/>
      </rPr>
      <t>enthält Erläuterungen zu allen statistisch relevanten Begriffen, die in den verschiedenen Produkten der Statistik der BA Verwendung finden.</t>
    </r>
  </si>
  <si>
    <t xml:space="preserve">Abkürzungen und Zeichen, die in den Produkten der Statistik der BA vorkommen, werden im </t>
  </si>
  <si>
    <t>Abkürzungsverzeichnis</t>
  </si>
  <si>
    <r>
      <rPr>
        <sz val="10"/>
        <rFont val="Arial"/>
        <family val="2"/>
      </rPr>
      <t xml:space="preserve">bzw. der </t>
    </r>
    <r>
      <rPr>
        <u/>
        <sz val="10"/>
        <color indexed="12"/>
        <rFont val="Arial"/>
        <family val="2"/>
      </rPr>
      <t>Zeichenerklärung</t>
    </r>
    <r>
      <rPr>
        <sz val="10"/>
        <rFont val="Arial"/>
        <family val="2"/>
      </rPr>
      <t xml:space="preserve"> der Statistik der BA erläutert.</t>
    </r>
  </si>
  <si>
    <t>*</t>
  </si>
  <si>
    <r>
      <t xml:space="preserve">Altenpflege </t>
    </r>
    <r>
      <rPr>
        <vertAlign val="superscript"/>
        <sz val="8"/>
        <rFont val="Arial"/>
        <family val="2"/>
      </rPr>
      <t>3)</t>
    </r>
  </si>
  <si>
    <r>
      <t xml:space="preserve">mit akademischem Abschluss </t>
    </r>
    <r>
      <rPr>
        <vertAlign val="superscript"/>
        <sz val="8"/>
        <rFont val="Arial"/>
        <family val="2"/>
      </rPr>
      <t>3)</t>
    </r>
  </si>
  <si>
    <r>
      <t xml:space="preserve">Altenpflege </t>
    </r>
    <r>
      <rPr>
        <vertAlign val="superscript"/>
        <sz val="8"/>
        <rFont val="Arial"/>
        <family val="2"/>
      </rPr>
      <t>2)</t>
    </r>
  </si>
  <si>
    <t>Entwicklung der sozialversicherungspflichtigen und der geringfügig entlohnten Beschäftigten (Jun 19: 100%)</t>
  </si>
  <si>
    <r>
      <t>Auszubildende nach Geschlech</t>
    </r>
    <r>
      <rPr>
        <sz val="8"/>
        <rFont val="Arial"/>
        <family val="2"/>
      </rPr>
      <t xml:space="preserve">t
         Auszubildende                  </t>
    </r>
  </si>
  <si>
    <r>
      <t>Sozialversicherungspflichtig Beschäftigte
in Freiwilligendiensten</t>
    </r>
    <r>
      <rPr>
        <sz val="8"/>
        <rFont val="Arial"/>
        <family val="2"/>
      </rPr>
      <t xml:space="preserve">
         Insgesamt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</si>
</sst>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407]mmm/\ yy;@"/>
    <numFmt numFmtId="165" formatCode="0.0"/>
    <numFmt numFmtId="166" formatCode="* 0.0;* \-_ 0.0;\-"/>
    <numFmt numFmtId="167" formatCode="* #,##0;* \-_ #,##0;\-"/>
    <numFmt numFmtId="168" formatCode="* #,##0.0;* \-_ #,##0.0;\-"/>
    <numFmt numFmtId="169" formatCode="\ @"/>
    <numFmt numFmtId="170" formatCode="0.0%"/>
    <numFmt numFmtId="171" formatCode="#,##0\ "/>
    <numFmt numFmtId="172" formatCode="#,##0.0\ "/>
    <numFmt numFmtId="173" formatCode="#,##0\ \ "/>
    <numFmt numFmtId="174" formatCode="#\ ###\ ##0.0\ ;\-\ #\ ###\ ##0.0\ ;\-"/>
    <numFmt numFmtId="175" formatCode="#\ ###\ ##0.0\ ;\-\ #\ ###\ ##0.0\ ;\-\ "/>
    <numFmt numFmtId="176" formatCode="#,##0.0"/>
    <numFmt numFmtId="177" formatCode="[$-407]mmmm\ yyyy;@"/>
    <numFmt numFmtId="178" formatCode="mmmm\ yyyy"/>
    <numFmt numFmtId="179" formatCode="[=0]\ \-;[&lt;100]\ \(#,##0\);#,##0"/>
  </numFmts>
  <fonts count="55" x14ac:knownFonts="1">
    <font>
      <sz val="10"/>
      <name val="Arial"/>
      <family val="2"/>
    </font>
    <font>
      <sz val="11"/>
      <color theme="1"/>
      <name val="Arial"/>
      <family val="2"/>
    </font>
    <font>
      <b/>
      <sz val="11"/>
      <color theme="1"/>
      <name val="Arial"/>
      <family val="2"/>
    </font>
    <font>
      <sz val="10"/>
      <name val="Arial"/>
      <family val="2"/>
    </font>
    <font>
      <u/>
      <sz val="10"/>
      <color theme="10"/>
      <name val="Arial"/>
      <family val="2"/>
    </font>
    <font>
      <sz val="10"/>
      <color rgb="FF000000"/>
      <name val="Arial"/>
      <family val="2"/>
    </font>
    <font>
      <b/>
      <sz val="12"/>
      <color rgb="FF000000"/>
      <name val="Arial"/>
      <family val="2"/>
    </font>
    <font>
      <b/>
      <sz val="10"/>
      <color rgb="FF000000"/>
      <name val="Arial"/>
      <family val="2"/>
    </font>
    <font>
      <u/>
      <sz val="10"/>
      <color indexed="12"/>
      <name val="Arial"/>
      <family val="2"/>
    </font>
    <font>
      <sz val="10"/>
      <color theme="1"/>
      <name val="Arial"/>
      <family val="2"/>
    </font>
    <font>
      <sz val="9"/>
      <name val="Arial"/>
      <family val="2"/>
    </font>
    <font>
      <b/>
      <sz val="12"/>
      <name val="Arial"/>
      <family val="2"/>
    </font>
    <font>
      <b/>
      <sz val="10"/>
      <name val="Arial"/>
      <family val="2"/>
    </font>
    <font>
      <b/>
      <sz val="11"/>
      <name val="Arial"/>
      <family val="2"/>
    </font>
    <font>
      <i/>
      <sz val="10"/>
      <name val="Arial"/>
      <family val="2"/>
    </font>
    <font>
      <i/>
      <sz val="9"/>
      <name val="Arial"/>
      <family val="2"/>
    </font>
    <font>
      <u/>
      <sz val="9"/>
      <name val="Arial"/>
      <family val="2"/>
    </font>
    <font>
      <b/>
      <sz val="14"/>
      <name val="Arial"/>
      <family val="2"/>
    </font>
    <font>
      <sz val="12"/>
      <name val="Arial"/>
      <family val="2"/>
    </font>
    <font>
      <sz val="8"/>
      <name val="Arial"/>
      <family val="2"/>
    </font>
    <font>
      <sz val="12"/>
      <color indexed="9"/>
      <name val="Arial"/>
      <family val="2"/>
    </font>
    <font>
      <sz val="8"/>
      <color rgb="FF000000"/>
      <name val="Arial"/>
      <family val="2"/>
    </font>
    <font>
      <vertAlign val="superscript"/>
      <sz val="8"/>
      <name val="Arial"/>
      <family val="2"/>
    </font>
    <font>
      <sz val="6"/>
      <name val="Arial"/>
      <family val="2"/>
    </font>
    <font>
      <b/>
      <sz val="8"/>
      <name val="Arial"/>
      <family val="2"/>
    </font>
    <font>
      <sz val="7"/>
      <name val="Arial"/>
      <family val="2"/>
    </font>
    <font>
      <vertAlign val="superscript"/>
      <sz val="7"/>
      <name val="Arial"/>
      <family val="2"/>
    </font>
    <font>
      <sz val="10"/>
      <color indexed="9"/>
      <name val="Arial"/>
      <family val="2"/>
    </font>
    <font>
      <sz val="8"/>
      <color indexed="9"/>
      <name val="Arial"/>
      <family val="2"/>
    </font>
    <font>
      <sz val="7"/>
      <color indexed="9"/>
      <name val="Arial"/>
      <family val="2"/>
    </font>
    <font>
      <u/>
      <sz val="7"/>
      <color indexed="12"/>
      <name val="Tahoma"/>
      <family val="2"/>
    </font>
    <font>
      <b/>
      <vertAlign val="superscript"/>
      <sz val="8"/>
      <name val="Arial"/>
      <family val="2"/>
    </font>
    <font>
      <u/>
      <sz val="7"/>
      <color indexed="12"/>
      <name val="Arial"/>
      <family val="2"/>
    </font>
    <font>
      <b/>
      <sz val="10"/>
      <color indexed="8"/>
      <name val="Arial"/>
      <family val="2"/>
    </font>
    <font>
      <sz val="10"/>
      <color indexed="8"/>
      <name val="Arial"/>
      <family val="2"/>
    </font>
    <font>
      <vertAlign val="superscript"/>
      <sz val="7"/>
      <color indexed="8"/>
      <name val="Arial"/>
      <family val="2"/>
    </font>
    <font>
      <sz val="7"/>
      <color indexed="8"/>
      <name val="Arial"/>
      <family val="2"/>
    </font>
    <font>
      <sz val="7"/>
      <color rgb="FF000000"/>
      <name val="Arial"/>
      <family val="2"/>
    </font>
    <font>
      <vertAlign val="superscript"/>
      <sz val="7"/>
      <color rgb="FF000000"/>
      <name val="Arial"/>
      <family val="2"/>
    </font>
    <font>
      <b/>
      <sz val="9"/>
      <name val="Arial"/>
      <family val="2"/>
    </font>
    <font>
      <b/>
      <sz val="9"/>
      <color theme="1"/>
      <name val="Arial"/>
      <family val="2"/>
    </font>
    <font>
      <sz val="9"/>
      <color indexed="8"/>
      <name val="Arial"/>
      <family val="2"/>
    </font>
    <font>
      <sz val="8"/>
      <name val="Tahoma"/>
      <family val="2"/>
    </font>
    <font>
      <sz val="9"/>
      <color theme="1"/>
      <name val="Arial"/>
      <family val="2"/>
    </font>
    <font>
      <sz val="9"/>
      <color rgb="FF000000"/>
      <name val="Arial"/>
      <family val="2"/>
    </font>
    <font>
      <b/>
      <sz val="9"/>
      <color indexed="8"/>
      <name val="Arial"/>
      <family val="2"/>
    </font>
    <font>
      <u/>
      <sz val="11"/>
      <color theme="10"/>
      <name val="Arial"/>
      <family val="2"/>
    </font>
    <font>
      <u/>
      <sz val="9"/>
      <color theme="10"/>
      <name val="Arial"/>
      <family val="2"/>
    </font>
    <font>
      <b/>
      <sz val="10"/>
      <color theme="1"/>
      <name val="Arial"/>
      <family val="2"/>
    </font>
    <font>
      <b/>
      <sz val="9"/>
      <color rgb="FF000000"/>
      <name val="Arial"/>
      <family val="2"/>
    </font>
    <font>
      <u/>
      <sz val="9"/>
      <color indexed="12"/>
      <name val="Arial"/>
      <family val="2"/>
    </font>
    <font>
      <u/>
      <sz val="10"/>
      <name val="Arial"/>
      <family val="2"/>
    </font>
    <font>
      <b/>
      <sz val="10"/>
      <color indexed="12"/>
      <name val="Arial"/>
      <family val="2"/>
    </font>
    <font>
      <u/>
      <sz val="10"/>
      <color indexed="8"/>
      <name val="Arial"/>
      <family val="2"/>
    </font>
    <font>
      <sz val="10"/>
      <color rgb="FF0000FF"/>
      <name val="Arial"/>
      <family val="2"/>
    </font>
  </fonts>
  <fills count="10">
    <fill>
      <patternFill patternType="none"/>
    </fill>
    <fill>
      <patternFill patternType="gray125"/>
    </fill>
    <fill>
      <patternFill patternType="solid">
        <fgColor rgb="FFFFFFFF"/>
        <bgColor indexed="64"/>
      </patternFill>
    </fill>
    <fill>
      <patternFill patternType="solid">
        <fgColor indexed="9"/>
        <bgColor indexed="64"/>
      </patternFill>
    </fill>
    <fill>
      <patternFill patternType="solid">
        <fgColor theme="0" tint="-0.14999847407452621"/>
        <bgColor indexed="64"/>
      </patternFill>
    </fill>
    <fill>
      <patternFill patternType="solid">
        <fgColor theme="0"/>
        <bgColor indexed="64"/>
      </patternFill>
    </fill>
    <fill>
      <patternFill patternType="solid">
        <fgColor indexed="44"/>
        <bgColor indexed="64"/>
      </patternFill>
    </fill>
    <fill>
      <patternFill patternType="solid">
        <fgColor indexed="41"/>
        <bgColor indexed="64"/>
      </patternFill>
    </fill>
    <fill>
      <patternFill patternType="solid">
        <fgColor indexed="42"/>
        <bgColor indexed="64"/>
      </patternFill>
    </fill>
    <fill>
      <patternFill patternType="solid">
        <fgColor indexed="22"/>
        <bgColor indexed="64"/>
      </patternFill>
    </fill>
  </fills>
  <borders count="36">
    <border>
      <left/>
      <right/>
      <top/>
      <bottom/>
      <diagonal/>
    </border>
    <border>
      <left/>
      <right/>
      <top/>
      <bottom style="thin">
        <color rgb="FF404040"/>
      </bottom>
      <diagonal/>
    </border>
    <border>
      <left/>
      <right/>
      <top/>
      <bottom style="thin">
        <color indexed="63"/>
      </bottom>
      <diagonal/>
    </border>
    <border>
      <left/>
      <right/>
      <top/>
      <bottom style="hair">
        <color indexed="22"/>
      </bottom>
      <diagonal/>
    </border>
    <border>
      <left style="hair">
        <color indexed="22"/>
      </left>
      <right/>
      <top style="hair">
        <color indexed="22"/>
      </top>
      <bottom/>
      <diagonal/>
    </border>
    <border>
      <left/>
      <right/>
      <top style="hair">
        <color indexed="22"/>
      </top>
      <bottom/>
      <diagonal/>
    </border>
    <border>
      <left style="hair">
        <color indexed="22"/>
      </left>
      <right style="hair">
        <color indexed="22"/>
      </right>
      <top style="hair">
        <color indexed="22"/>
      </top>
      <bottom/>
      <diagonal/>
    </border>
    <border>
      <left style="hair">
        <color indexed="22"/>
      </left>
      <right/>
      <top style="hair">
        <color indexed="22"/>
      </top>
      <bottom style="hair">
        <color indexed="22"/>
      </bottom>
      <diagonal/>
    </border>
    <border>
      <left/>
      <right/>
      <top style="hair">
        <color indexed="22"/>
      </top>
      <bottom style="hair">
        <color indexed="22"/>
      </bottom>
      <diagonal/>
    </border>
    <border>
      <left/>
      <right style="hair">
        <color indexed="22"/>
      </right>
      <top style="hair">
        <color indexed="22"/>
      </top>
      <bottom style="hair">
        <color indexed="22"/>
      </bottom>
      <diagonal/>
    </border>
    <border>
      <left/>
      <right style="hair">
        <color indexed="22"/>
      </right>
      <top style="hair">
        <color indexed="22"/>
      </top>
      <bottom/>
      <diagonal/>
    </border>
    <border>
      <left style="hair">
        <color indexed="22"/>
      </left>
      <right/>
      <top/>
      <bottom/>
      <diagonal/>
    </border>
    <border>
      <left style="hair">
        <color indexed="22"/>
      </left>
      <right style="hair">
        <color indexed="22"/>
      </right>
      <top/>
      <bottom/>
      <diagonal/>
    </border>
    <border>
      <left style="hair">
        <color indexed="22"/>
      </left>
      <right/>
      <top/>
      <bottom style="hair">
        <color indexed="22"/>
      </bottom>
      <diagonal/>
    </border>
    <border>
      <left/>
      <right style="hair">
        <color indexed="22"/>
      </right>
      <top/>
      <bottom style="hair">
        <color indexed="22"/>
      </bottom>
      <diagonal/>
    </border>
    <border>
      <left style="hair">
        <color indexed="22"/>
      </left>
      <right style="hair">
        <color indexed="22"/>
      </right>
      <top/>
      <bottom style="hair">
        <color indexed="22"/>
      </bottom>
      <diagonal/>
    </border>
    <border>
      <left style="hair">
        <color indexed="22"/>
      </left>
      <right style="hair">
        <color indexed="22"/>
      </right>
      <top style="hair">
        <color indexed="22"/>
      </top>
      <bottom style="hair">
        <color indexed="22"/>
      </bottom>
      <diagonal/>
    </border>
    <border>
      <left/>
      <right style="hair">
        <color indexed="22"/>
      </right>
      <top/>
      <bottom/>
      <diagonal/>
    </border>
    <border>
      <left style="hair">
        <color theme="0" tint="-0.24994659260841701"/>
      </left>
      <right/>
      <top/>
      <bottom/>
      <diagonal/>
    </border>
    <border>
      <left/>
      <right style="hair">
        <color theme="0" tint="-0.14996795556505021"/>
      </right>
      <top/>
      <bottom/>
      <diagonal/>
    </border>
    <border>
      <left style="hair">
        <color rgb="FFC0C0C0"/>
      </left>
      <right style="hair">
        <color indexed="22"/>
      </right>
      <top style="hair">
        <color rgb="FFC0C0C0"/>
      </top>
      <bottom/>
      <diagonal/>
    </border>
    <border>
      <left style="hair">
        <color indexed="22"/>
      </left>
      <right style="hair">
        <color indexed="22"/>
      </right>
      <top style="hair">
        <color rgb="FFC0C0C0"/>
      </top>
      <bottom/>
      <diagonal/>
    </border>
    <border>
      <left style="hair">
        <color rgb="FFC0C0C0"/>
      </left>
      <right/>
      <top style="hair">
        <color rgb="FFC0C0C0"/>
      </top>
      <bottom/>
      <diagonal/>
    </border>
    <border>
      <left/>
      <right/>
      <top style="hair">
        <color rgb="FFC0C0C0"/>
      </top>
      <bottom/>
      <diagonal/>
    </border>
    <border>
      <left/>
      <right style="hair">
        <color indexed="22"/>
      </right>
      <top style="hair">
        <color rgb="FFC0C0C0"/>
      </top>
      <bottom/>
      <diagonal/>
    </border>
    <border>
      <left/>
      <right style="hair">
        <color rgb="FFC0C0C0"/>
      </right>
      <top style="hair">
        <color rgb="FFC0C0C0"/>
      </top>
      <bottom/>
      <diagonal/>
    </border>
    <border>
      <left style="hair">
        <color rgb="FFC0C0C0"/>
      </left>
      <right/>
      <top/>
      <bottom/>
      <diagonal/>
    </border>
    <border>
      <left/>
      <right style="hair">
        <color rgb="FFC0C0C0"/>
      </right>
      <top/>
      <bottom/>
      <diagonal/>
    </border>
    <border>
      <left style="hair">
        <color rgb="FFC0C0C0"/>
      </left>
      <right/>
      <top/>
      <bottom style="hair">
        <color rgb="FFC0C0C0"/>
      </bottom>
      <diagonal/>
    </border>
    <border>
      <left/>
      <right style="hair">
        <color rgb="FFBFBFBF"/>
      </right>
      <top/>
      <bottom style="hair">
        <color rgb="FFC0C0C0"/>
      </bottom>
      <diagonal/>
    </border>
    <border>
      <left/>
      <right/>
      <top/>
      <bottom style="hair">
        <color rgb="FFC0C0C0"/>
      </bottom>
      <diagonal/>
    </border>
    <border>
      <left/>
      <right style="hair">
        <color indexed="22"/>
      </right>
      <top/>
      <bottom style="hair">
        <color rgb="FFC0C0C0"/>
      </bottom>
      <diagonal/>
    </border>
    <border>
      <left/>
      <right style="hair">
        <color rgb="FFC0C0C0"/>
      </right>
      <top/>
      <bottom style="hair">
        <color rgb="FFC0C0C0"/>
      </bottom>
      <diagonal/>
    </border>
    <border>
      <left style="hair">
        <color indexed="22"/>
      </left>
      <right/>
      <top/>
      <bottom style="hair">
        <color rgb="FFC0C0C0"/>
      </bottom>
      <diagonal/>
    </border>
    <border>
      <left style="hair">
        <color rgb="FFC0C0C0"/>
      </left>
      <right/>
      <top/>
      <bottom style="hair">
        <color indexed="22"/>
      </bottom>
      <diagonal/>
    </border>
    <border>
      <left/>
      <right/>
      <top/>
      <bottom style="thin">
        <color theme="1" tint="0.24994659260841701"/>
      </bottom>
      <diagonal/>
    </border>
  </borders>
  <cellStyleXfs count="14">
    <xf numFmtId="0" fontId="0" fillId="0" borderId="0"/>
    <xf numFmtId="0" fontId="4" fillId="0" borderId="0" applyNumberFormat="0" applyFill="0" applyBorder="0" applyAlignment="0" applyProtection="0"/>
    <xf numFmtId="0" fontId="3" fillId="0" borderId="0"/>
    <xf numFmtId="0" fontId="42" fillId="0" borderId="0"/>
    <xf numFmtId="0" fontId="1" fillId="0" borderId="0"/>
    <xf numFmtId="0" fontId="46" fillId="0" borderId="0" applyNumberFormat="0" applyFill="0" applyBorder="0" applyAlignment="0" applyProtection="0"/>
    <xf numFmtId="0" fontId="3" fillId="0" borderId="0"/>
    <xf numFmtId="0" fontId="1" fillId="0" borderId="0"/>
    <xf numFmtId="0" fontId="46" fillId="0" borderId="0" applyNumberFormat="0" applyFill="0" applyBorder="0" applyAlignment="0" applyProtection="0"/>
    <xf numFmtId="0" fontId="4" fillId="0" borderId="0" applyNumberFormat="0" applyFill="0" applyBorder="0" applyAlignment="0" applyProtection="0">
      <alignment vertical="top"/>
      <protection locked="0"/>
    </xf>
    <xf numFmtId="0" fontId="3" fillId="0" borderId="0"/>
    <xf numFmtId="0" fontId="8" fillId="0" borderId="0" applyNumberFormat="0" applyFill="0" applyBorder="0" applyAlignment="0" applyProtection="0">
      <alignment vertical="top"/>
      <protection locked="0"/>
    </xf>
    <xf numFmtId="0" fontId="1" fillId="0" borderId="0"/>
    <xf numFmtId="0" fontId="8" fillId="0" borderId="0" applyNumberFormat="0" applyFill="0" applyBorder="0" applyAlignment="0" applyProtection="0">
      <alignment vertical="top"/>
      <protection locked="0"/>
    </xf>
  </cellStyleXfs>
  <cellXfs count="556">
    <xf numFmtId="0" fontId="0" fillId="0" borderId="0" xfId="0"/>
    <xf numFmtId="0" fontId="5" fillId="2" borderId="1" xfId="0" applyFont="1" applyFill="1" applyBorder="1" applyAlignment="1">
      <alignment horizontal="left" vertical="top" wrapText="1"/>
    </xf>
    <xf numFmtId="0" fontId="5" fillId="2" borderId="1" xfId="0" applyFont="1" applyFill="1" applyBorder="1" applyAlignment="1">
      <alignment horizontal="right" vertical="center" wrapText="1"/>
    </xf>
    <xf numFmtId="0" fontId="5" fillId="2" borderId="0" xfId="0" applyFont="1" applyFill="1" applyAlignment="1">
      <alignment horizontal="left" vertical="top" wrapText="1"/>
    </xf>
    <xf numFmtId="0" fontId="6" fillId="2" borderId="0" xfId="0" applyFont="1" applyFill="1" applyAlignment="1">
      <alignment horizontal="left" vertical="top" wrapText="1"/>
    </xf>
    <xf numFmtId="0" fontId="7" fillId="2" borderId="0" xfId="0" applyFont="1" applyFill="1" applyAlignment="1">
      <alignment horizontal="left" vertical="top" wrapText="1"/>
    </xf>
    <xf numFmtId="0" fontId="3" fillId="0" borderId="0" xfId="0" applyFont="1" applyAlignment="1">
      <alignment horizontal="left" wrapText="1"/>
    </xf>
    <xf numFmtId="0" fontId="4" fillId="2" borderId="0" xfId="1" applyNumberFormat="1" applyFill="1" applyAlignment="1" applyProtection="1">
      <alignment horizontal="left" vertical="top" wrapText="1"/>
    </xf>
    <xf numFmtId="0" fontId="8" fillId="2" borderId="0" xfId="0" applyFont="1" applyFill="1" applyAlignment="1">
      <alignment horizontal="left" vertical="top" wrapText="1"/>
    </xf>
    <xf numFmtId="0" fontId="3" fillId="0" borderId="2" xfId="0" applyFont="1" applyBorder="1" applyAlignment="1">
      <alignment horizontal="right" vertical="center"/>
    </xf>
    <xf numFmtId="0" fontId="10" fillId="0" borderId="2" xfId="0" applyFont="1" applyBorder="1"/>
    <xf numFmtId="0" fontId="3" fillId="0" borderId="1" xfId="0" applyFont="1" applyBorder="1" applyAlignment="1">
      <alignment horizontal="right" vertical="center"/>
    </xf>
    <xf numFmtId="0" fontId="10" fillId="0" borderId="0" xfId="0" applyFont="1"/>
    <xf numFmtId="0" fontId="10" fillId="0" borderId="0" xfId="0" applyFont="1" applyAlignment="1">
      <alignment horizontal="left"/>
    </xf>
    <xf numFmtId="0" fontId="3" fillId="0" borderId="0" xfId="0" applyFont="1" applyAlignment="1">
      <alignment horizontal="left"/>
    </xf>
    <xf numFmtId="0" fontId="11" fillId="0" borderId="0" xfId="0" applyFont="1"/>
    <xf numFmtId="0" fontId="12" fillId="0" borderId="0" xfId="0" applyFont="1" applyAlignment="1">
      <alignment horizontal="left"/>
    </xf>
    <xf numFmtId="0" fontId="13" fillId="0" borderId="0" xfId="0" applyFont="1" applyAlignment="1">
      <alignment horizontal="left"/>
    </xf>
    <xf numFmtId="0" fontId="3" fillId="0" borderId="0" xfId="0" applyFont="1"/>
    <xf numFmtId="0" fontId="8" fillId="0" borderId="0" xfId="0" applyFont="1" applyAlignment="1">
      <alignment horizontal="right"/>
    </xf>
    <xf numFmtId="0" fontId="8" fillId="0" borderId="0" xfId="0" applyFont="1" applyAlignment="1">
      <alignment horizontal="left"/>
    </xf>
    <xf numFmtId="0" fontId="3" fillId="0" borderId="0" xfId="0" applyFont="1" applyAlignment="1">
      <alignment horizontal="right"/>
    </xf>
    <xf numFmtId="0" fontId="14" fillId="0" borderId="0" xfId="0" applyFont="1"/>
    <xf numFmtId="0" fontId="14" fillId="0" borderId="0" xfId="0" applyFont="1" applyAlignment="1">
      <alignment horizontal="left"/>
    </xf>
    <xf numFmtId="0" fontId="14" fillId="0" borderId="0" xfId="0" applyFont="1" applyAlignment="1">
      <alignment wrapText="1"/>
    </xf>
    <xf numFmtId="0" fontId="10" fillId="0" borderId="0" xfId="0" applyFont="1" applyAlignment="1">
      <alignment horizontal="left" wrapText="1"/>
    </xf>
    <xf numFmtId="0" fontId="15" fillId="0" borderId="0" xfId="0" applyFont="1" applyAlignment="1">
      <alignment horizontal="left" wrapText="1"/>
    </xf>
    <xf numFmtId="0" fontId="16" fillId="0" borderId="0" xfId="0" applyFont="1" applyAlignment="1">
      <alignment horizontal="left" indent="10"/>
    </xf>
    <xf numFmtId="0" fontId="16" fillId="0" borderId="0" xfId="0" applyFont="1" applyAlignment="1">
      <alignment horizontal="left"/>
    </xf>
    <xf numFmtId="0" fontId="10" fillId="0" borderId="0" xfId="0" applyFont="1" applyAlignment="1">
      <alignment horizontal="left" indent="10"/>
    </xf>
    <xf numFmtId="0" fontId="3" fillId="0" borderId="1" xfId="0" applyFont="1" applyBorder="1" applyAlignment="1">
      <alignment horizontal="left" vertical="center"/>
    </xf>
    <xf numFmtId="0" fontId="3" fillId="0" borderId="1" xfId="0" applyFont="1" applyBorder="1" applyAlignment="1">
      <alignment horizontal="centerContinuous" vertical="center" shrinkToFit="1"/>
    </xf>
    <xf numFmtId="0" fontId="0" fillId="0" borderId="1" xfId="0" applyBorder="1" applyAlignment="1">
      <alignment horizontal="right" vertical="center"/>
    </xf>
    <xf numFmtId="0" fontId="17" fillId="0" borderId="0" xfId="0" applyFont="1" applyAlignment="1">
      <alignment horizontal="centerContinuous" vertical="center"/>
    </xf>
    <xf numFmtId="0" fontId="0" fillId="0" borderId="0" xfId="0" applyAlignment="1">
      <alignment horizontal="centerContinuous" vertical="center"/>
    </xf>
    <xf numFmtId="0" fontId="18" fillId="0" borderId="0" xfId="0" applyFont="1"/>
    <xf numFmtId="0" fontId="20" fillId="0" borderId="0" xfId="0" applyFont="1" applyAlignment="1">
      <alignment horizontal="left" vertical="center"/>
    </xf>
    <xf numFmtId="0" fontId="19" fillId="0" borderId="0" xfId="0" applyFont="1"/>
    <xf numFmtId="3" fontId="19" fillId="0" borderId="16" xfId="0" applyNumberFormat="1" applyFont="1" applyBorder="1" applyAlignment="1">
      <alignment horizontal="center" vertical="center"/>
    </xf>
    <xf numFmtId="165" fontId="19" fillId="0" borderId="16" xfId="0" applyNumberFormat="1" applyFont="1" applyBorder="1" applyAlignment="1">
      <alignment horizontal="center" vertical="center"/>
    </xf>
    <xf numFmtId="1" fontId="23" fillId="0" borderId="16" xfId="0" applyNumberFormat="1" applyFont="1" applyBorder="1" applyAlignment="1">
      <alignment horizontal="center" vertical="center"/>
    </xf>
    <xf numFmtId="0" fontId="23" fillId="0" borderId="0" xfId="0" applyFont="1"/>
    <xf numFmtId="1" fontId="24" fillId="0" borderId="4" xfId="0" applyNumberFormat="1" applyFont="1" applyBorder="1" applyAlignment="1">
      <alignment horizontal="left"/>
    </xf>
    <xf numFmtId="1" fontId="24" fillId="0" borderId="0" xfId="0" applyNumberFormat="1" applyFont="1" applyAlignment="1">
      <alignment horizontal="center"/>
    </xf>
    <xf numFmtId="1" fontId="24" fillId="0" borderId="12" xfId="0" applyNumberFormat="1" applyFont="1" applyBorder="1" applyAlignment="1">
      <alignment horizontal="center"/>
    </xf>
    <xf numFmtId="3" fontId="19" fillId="0" borderId="4" xfId="0" applyNumberFormat="1" applyFont="1" applyBorder="1" applyAlignment="1">
      <alignment horizontal="center"/>
    </xf>
    <xf numFmtId="3" fontId="19" fillId="0" borderId="5" xfId="0" applyNumberFormat="1" applyFont="1" applyBorder="1" applyAlignment="1">
      <alignment horizontal="center"/>
    </xf>
    <xf numFmtId="3" fontId="19" fillId="0" borderId="10" xfId="0" applyNumberFormat="1" applyFont="1" applyBorder="1" applyAlignment="1">
      <alignment horizontal="center"/>
    </xf>
    <xf numFmtId="1" fontId="19" fillId="0" borderId="4" xfId="0" applyNumberFormat="1" applyFont="1" applyBorder="1" applyAlignment="1">
      <alignment horizontal="center"/>
    </xf>
    <xf numFmtId="1" fontId="19" fillId="0" borderId="10" xfId="0" applyNumberFormat="1" applyFont="1" applyBorder="1" applyAlignment="1">
      <alignment horizontal="center"/>
    </xf>
    <xf numFmtId="49" fontId="24" fillId="0" borderId="11" xfId="0" applyNumberFormat="1" applyFont="1" applyBorder="1"/>
    <xf numFmtId="0" fontId="24" fillId="0" borderId="0" xfId="0" applyFont="1"/>
    <xf numFmtId="166" fontId="19" fillId="0" borderId="12" xfId="0" applyNumberFormat="1" applyFont="1" applyBorder="1" applyAlignment="1">
      <alignment horizontal="right"/>
    </xf>
    <xf numFmtId="167" fontId="19" fillId="0" borderId="0" xfId="0" applyNumberFormat="1" applyFont="1" applyAlignment="1">
      <alignment horizontal="right"/>
    </xf>
    <xf numFmtId="167" fontId="19" fillId="0" borderId="11" xfId="0" applyNumberFormat="1" applyFont="1" applyBorder="1" applyAlignment="1">
      <alignment horizontal="right"/>
    </xf>
    <xf numFmtId="168" fontId="19" fillId="0" borderId="17" xfId="0" applyNumberFormat="1" applyFont="1" applyBorder="1" applyAlignment="1">
      <alignment horizontal="right"/>
    </xf>
    <xf numFmtId="0" fontId="19" fillId="0" borderId="0" xfId="0" applyFont="1" applyAlignment="1">
      <alignment wrapText="1"/>
    </xf>
    <xf numFmtId="49" fontId="19" fillId="0" borderId="11" xfId="0" applyNumberFormat="1" applyFont="1" applyBorder="1"/>
    <xf numFmtId="49" fontId="19" fillId="0" borderId="0" xfId="0" applyNumberFormat="1" applyFont="1"/>
    <xf numFmtId="169" fontId="19" fillId="0" borderId="11" xfId="0" applyNumberFormat="1" applyFont="1" applyBorder="1"/>
    <xf numFmtId="0" fontId="19" fillId="0" borderId="0" xfId="0" applyFont="1" applyAlignment="1">
      <alignment horizontal="left"/>
    </xf>
    <xf numFmtId="170" fontId="19" fillId="0" borderId="0" xfId="0" applyNumberFormat="1" applyFont="1"/>
    <xf numFmtId="169" fontId="19" fillId="0" borderId="13" xfId="0" applyNumberFormat="1" applyFont="1" applyBorder="1"/>
    <xf numFmtId="49" fontId="19" fillId="0" borderId="3" xfId="0" applyNumberFormat="1" applyFont="1" applyBorder="1"/>
    <xf numFmtId="166" fontId="19" fillId="0" borderId="15" xfId="0" applyNumberFormat="1" applyFont="1" applyBorder="1" applyAlignment="1">
      <alignment horizontal="right"/>
    </xf>
    <xf numFmtId="1" fontId="24" fillId="0" borderId="11" xfId="0" applyNumberFormat="1" applyFont="1" applyBorder="1" applyAlignment="1">
      <alignment horizontal="left"/>
    </xf>
    <xf numFmtId="1" fontId="24" fillId="0" borderId="12" xfId="0" applyNumberFormat="1" applyFont="1" applyBorder="1" applyAlignment="1">
      <alignment horizontal="right"/>
    </xf>
    <xf numFmtId="3" fontId="19" fillId="0" borderId="4" xfId="0" applyNumberFormat="1" applyFont="1" applyBorder="1" applyAlignment="1">
      <alignment horizontal="right"/>
    </xf>
    <xf numFmtId="3" fontId="19" fillId="0" borderId="5" xfId="0" applyNumberFormat="1" applyFont="1" applyBorder="1" applyAlignment="1">
      <alignment horizontal="right"/>
    </xf>
    <xf numFmtId="3" fontId="19" fillId="0" borderId="10" xfId="0" applyNumberFormat="1" applyFont="1" applyBorder="1" applyAlignment="1">
      <alignment horizontal="right"/>
    </xf>
    <xf numFmtId="1" fontId="19" fillId="0" borderId="4" xfId="0" applyNumberFormat="1" applyFont="1" applyBorder="1" applyAlignment="1">
      <alignment horizontal="right"/>
    </xf>
    <xf numFmtId="1" fontId="19" fillId="0" borderId="10" xfId="0" applyNumberFormat="1" applyFont="1" applyBorder="1" applyAlignment="1">
      <alignment horizontal="right"/>
    </xf>
    <xf numFmtId="1" fontId="19" fillId="0" borderId="12" xfId="0" applyNumberFormat="1" applyFont="1" applyBorder="1" applyAlignment="1">
      <alignment horizontal="right"/>
    </xf>
    <xf numFmtId="3" fontId="19" fillId="0" borderId="11" xfId="0" applyNumberFormat="1" applyFont="1" applyBorder="1" applyAlignment="1">
      <alignment horizontal="right"/>
    </xf>
    <xf numFmtId="3" fontId="19" fillId="0" borderId="0" xfId="0" applyNumberFormat="1" applyFont="1" applyAlignment="1">
      <alignment horizontal="right"/>
    </xf>
    <xf numFmtId="3" fontId="19" fillId="0" borderId="17" xfId="0" applyNumberFormat="1" applyFont="1" applyBorder="1" applyAlignment="1">
      <alignment horizontal="right"/>
    </xf>
    <xf numFmtId="171" fontId="19" fillId="0" borderId="11" xfId="0" applyNumberFormat="1" applyFont="1" applyBorder="1" applyAlignment="1">
      <alignment horizontal="right"/>
    </xf>
    <xf numFmtId="172" fontId="19" fillId="0" borderId="17" xfId="0" applyNumberFormat="1" applyFont="1" applyBorder="1" applyAlignment="1">
      <alignment horizontal="right"/>
    </xf>
    <xf numFmtId="167" fontId="19" fillId="0" borderId="11" xfId="0" applyNumberFormat="1" applyFont="1" applyBorder="1" applyAlignment="1">
      <alignment horizontal="right" wrapText="1"/>
    </xf>
    <xf numFmtId="167" fontId="19" fillId="0" borderId="17" xfId="0" applyNumberFormat="1" applyFont="1" applyBorder="1" applyAlignment="1">
      <alignment horizontal="right"/>
    </xf>
    <xf numFmtId="165" fontId="24" fillId="0" borderId="12" xfId="0" applyNumberFormat="1" applyFont="1" applyBorder="1" applyAlignment="1">
      <alignment horizontal="right"/>
    </xf>
    <xf numFmtId="49" fontId="19" fillId="0" borderId="13" xfId="0" applyNumberFormat="1" applyFont="1" applyBorder="1"/>
    <xf numFmtId="167" fontId="19" fillId="0" borderId="13" xfId="0" applyNumberFormat="1" applyFont="1" applyBorder="1" applyAlignment="1">
      <alignment horizontal="right"/>
    </xf>
    <xf numFmtId="167" fontId="19" fillId="0" borderId="3" xfId="0" applyNumberFormat="1" applyFont="1" applyBorder="1" applyAlignment="1">
      <alignment horizontal="right"/>
    </xf>
    <xf numFmtId="167" fontId="19" fillId="0" borderId="14" xfId="0" applyNumberFormat="1" applyFont="1" applyBorder="1" applyAlignment="1">
      <alignment horizontal="right"/>
    </xf>
    <xf numFmtId="168" fontId="19" fillId="0" borderId="14" xfId="0" applyNumberFormat="1" applyFont="1" applyBorder="1" applyAlignment="1">
      <alignment horizontal="right"/>
    </xf>
    <xf numFmtId="0" fontId="23" fillId="0" borderId="0" xfId="0" applyFont="1" applyAlignment="1">
      <alignment horizontal="left"/>
    </xf>
    <xf numFmtId="0" fontId="25" fillId="0" borderId="0" xfId="0" applyFont="1" applyAlignment="1">
      <alignment horizontal="left"/>
    </xf>
    <xf numFmtId="0" fontId="25" fillId="0" borderId="0" xfId="0" applyFont="1" applyAlignment="1">
      <alignment horizontal="right" vertical="top"/>
    </xf>
    <xf numFmtId="0" fontId="23" fillId="0" borderId="0" xfId="0" applyFont="1" applyAlignment="1">
      <alignment horizontal="left" wrapText="1"/>
    </xf>
    <xf numFmtId="3" fontId="19" fillId="0" borderId="0" xfId="0" applyNumberFormat="1" applyFont="1"/>
    <xf numFmtId="165" fontId="19" fillId="0" borderId="0" xfId="0" applyNumberFormat="1" applyFont="1"/>
    <xf numFmtId="0" fontId="27" fillId="3" borderId="0" xfId="0" applyFont="1" applyFill="1"/>
    <xf numFmtId="0" fontId="27" fillId="0" borderId="0" xfId="0" applyFont="1"/>
    <xf numFmtId="0" fontId="20" fillId="3" borderId="0" xfId="0" applyFont="1" applyFill="1"/>
    <xf numFmtId="0" fontId="20" fillId="0" borderId="0" xfId="0" applyFont="1"/>
    <xf numFmtId="0" fontId="20" fillId="0" borderId="0" xfId="0" applyFont="1" applyAlignment="1">
      <alignment horizontal="centerContinuous"/>
    </xf>
    <xf numFmtId="0" fontId="19" fillId="0" borderId="0" xfId="0" applyFont="1" applyAlignment="1">
      <alignment horizontal="left" wrapText="1"/>
    </xf>
    <xf numFmtId="0" fontId="18" fillId="0" borderId="3" xfId="0" applyFont="1" applyBorder="1"/>
    <xf numFmtId="0" fontId="19" fillId="0" borderId="3" xfId="0" applyFont="1" applyBorder="1"/>
    <xf numFmtId="0" fontId="19" fillId="0" borderId="3" xfId="0" applyFont="1" applyBorder="1" applyAlignment="1">
      <alignment vertical="center"/>
    </xf>
    <xf numFmtId="173" fontId="12" fillId="0" borderId="4" xfId="0" applyNumberFormat="1" applyFont="1" applyBorder="1" applyAlignment="1">
      <alignment horizontal="left" vertical="center"/>
    </xf>
    <xf numFmtId="173" fontId="12" fillId="0" borderId="5" xfId="0" applyNumberFormat="1" applyFont="1" applyBorder="1" applyAlignment="1">
      <alignment horizontal="left" vertical="center"/>
    </xf>
    <xf numFmtId="173" fontId="12" fillId="0" borderId="10" xfId="0" applyNumberFormat="1" applyFont="1" applyBorder="1" applyAlignment="1">
      <alignment horizontal="left" vertical="center"/>
    </xf>
    <xf numFmtId="173" fontId="19" fillId="0" borderId="11" xfId="0" applyNumberFormat="1" applyFont="1" applyBorder="1" applyAlignment="1">
      <alignment vertical="center"/>
    </xf>
    <xf numFmtId="173" fontId="19" fillId="0" borderId="0" xfId="0" applyNumberFormat="1" applyFont="1" applyAlignment="1">
      <alignment vertical="center"/>
    </xf>
    <xf numFmtId="173" fontId="19" fillId="0" borderId="17" xfId="0" applyNumberFormat="1" applyFont="1" applyBorder="1" applyAlignment="1">
      <alignment vertical="center"/>
    </xf>
    <xf numFmtId="0" fontId="18" fillId="0" borderId="0" xfId="0" applyFont="1" applyAlignment="1">
      <alignment vertical="center"/>
    </xf>
    <xf numFmtId="165" fontId="19" fillId="0" borderId="3" xfId="0" applyNumberFormat="1" applyFont="1" applyBorder="1"/>
    <xf numFmtId="171" fontId="19" fillId="0" borderId="3" xfId="0" applyNumberFormat="1" applyFont="1" applyBorder="1"/>
    <xf numFmtId="171" fontId="19" fillId="0" borderId="14" xfId="0" applyNumberFormat="1" applyFont="1" applyBorder="1"/>
    <xf numFmtId="172" fontId="19" fillId="0" borderId="0" xfId="0" applyNumberFormat="1" applyFont="1"/>
    <xf numFmtId="171" fontId="19" fillId="0" borderId="0" xfId="0" applyNumberFormat="1" applyFont="1"/>
    <xf numFmtId="171" fontId="19" fillId="0" borderId="17" xfId="0" applyNumberFormat="1" applyFont="1" applyBorder="1"/>
    <xf numFmtId="172" fontId="28" fillId="3" borderId="0" xfId="0" applyNumberFormat="1" applyFont="1" applyFill="1"/>
    <xf numFmtId="0" fontId="28" fillId="0" borderId="0" xfId="0" applyFont="1"/>
    <xf numFmtId="1" fontId="19" fillId="0" borderId="0" xfId="0" applyNumberFormat="1" applyFont="1" applyAlignment="1">
      <alignment horizontal="right" vertical="center"/>
    </xf>
    <xf numFmtId="171" fontId="19" fillId="0" borderId="0" xfId="0" applyNumberFormat="1" applyFont="1" applyAlignment="1">
      <alignment vertical="center"/>
    </xf>
    <xf numFmtId="171" fontId="19" fillId="0" borderId="17" xfId="0" applyNumberFormat="1" applyFont="1" applyBorder="1" applyAlignment="1">
      <alignment vertical="center"/>
    </xf>
    <xf numFmtId="0" fontId="19" fillId="0" borderId="0" xfId="0" applyFont="1" applyAlignment="1">
      <alignment vertical="center"/>
    </xf>
    <xf numFmtId="0" fontId="19" fillId="0" borderId="11" xfId="0" applyFont="1" applyBorder="1" applyAlignment="1">
      <alignment horizontal="left" vertical="center" wrapText="1"/>
    </xf>
    <xf numFmtId="49" fontId="19" fillId="0" borderId="0" xfId="0" applyNumberFormat="1" applyFont="1" applyAlignment="1">
      <alignment horizontal="left" vertical="center" wrapText="1"/>
    </xf>
    <xf numFmtId="174" fontId="19" fillId="0" borderId="0" xfId="0" applyNumberFormat="1" applyFont="1" applyAlignment="1">
      <alignment horizontal="right" vertical="center" wrapText="1"/>
    </xf>
    <xf numFmtId="171" fontId="19" fillId="0" borderId="0" xfId="0" applyNumberFormat="1" applyFont="1" applyAlignment="1">
      <alignment vertical="center" wrapText="1"/>
    </xf>
    <xf numFmtId="171" fontId="19" fillId="0" borderId="17" xfId="0" applyNumberFormat="1" applyFont="1" applyBorder="1" applyAlignment="1">
      <alignment vertical="center" wrapText="1"/>
    </xf>
    <xf numFmtId="0" fontId="19" fillId="0" borderId="0" xfId="0" applyFont="1" applyAlignment="1">
      <alignment vertical="center" wrapText="1"/>
    </xf>
    <xf numFmtId="170" fontId="19" fillId="0" borderId="0" xfId="0" applyNumberFormat="1" applyFont="1" applyAlignment="1">
      <alignment horizontal="left" vertical="center" wrapText="1"/>
    </xf>
    <xf numFmtId="0" fontId="25" fillId="0" borderId="0" xfId="0" applyFont="1" applyAlignment="1">
      <alignment vertical="center" wrapText="1"/>
    </xf>
    <xf numFmtId="0" fontId="19" fillId="0" borderId="11" xfId="0" applyFont="1" applyBorder="1" applyAlignment="1">
      <alignment horizontal="left" vertical="center"/>
    </xf>
    <xf numFmtId="170" fontId="19" fillId="0" borderId="0" xfId="0" applyNumberFormat="1" applyFont="1" applyAlignment="1">
      <alignment horizontal="left" vertical="center"/>
    </xf>
    <xf numFmtId="167" fontId="19" fillId="0" borderId="0" xfId="0" applyNumberFormat="1" applyFont="1" applyAlignment="1">
      <alignment horizontal="left" vertical="center"/>
    </xf>
    <xf numFmtId="167" fontId="19" fillId="0" borderId="0" xfId="0" applyNumberFormat="1" applyFont="1" applyAlignment="1">
      <alignment horizontal="left" vertical="center" wrapText="1"/>
    </xf>
    <xf numFmtId="0" fontId="24" fillId="0" borderId="11" xfId="0" applyFont="1" applyBorder="1" applyAlignment="1">
      <alignment vertical="center"/>
    </xf>
    <xf numFmtId="49" fontId="19" fillId="0" borderId="0" xfId="0" applyNumberFormat="1" applyFont="1" applyAlignment="1">
      <alignment vertical="center"/>
    </xf>
    <xf numFmtId="170" fontId="19" fillId="0" borderId="11" xfId="0" applyNumberFormat="1" applyFont="1" applyBorder="1" applyAlignment="1">
      <alignment vertical="center" wrapText="1"/>
    </xf>
    <xf numFmtId="170" fontId="19" fillId="0" borderId="0" xfId="0" applyNumberFormat="1" applyFont="1" applyAlignment="1">
      <alignment vertical="center" wrapText="1"/>
    </xf>
    <xf numFmtId="0" fontId="19" fillId="0" borderId="13" xfId="0" applyFont="1" applyBorder="1"/>
    <xf numFmtId="170" fontId="19" fillId="0" borderId="3" xfId="0" applyNumberFormat="1" applyFont="1" applyBorder="1"/>
    <xf numFmtId="3" fontId="19" fillId="0" borderId="3" xfId="0" applyNumberFormat="1" applyFont="1" applyBorder="1"/>
    <xf numFmtId="3" fontId="19" fillId="0" borderId="14" xfId="0" applyNumberFormat="1" applyFont="1" applyBorder="1"/>
    <xf numFmtId="0" fontId="25" fillId="0" borderId="0" xfId="0" applyFont="1"/>
    <xf numFmtId="0" fontId="25" fillId="0" borderId="0" xfId="0" applyFont="1" applyAlignment="1">
      <alignment horizontal="right"/>
    </xf>
    <xf numFmtId="0" fontId="29" fillId="3" borderId="0" xfId="0" applyFont="1" applyFill="1"/>
    <xf numFmtId="0" fontId="29" fillId="0" borderId="0" xfId="0" applyFont="1"/>
    <xf numFmtId="0" fontId="28" fillId="3" borderId="0" xfId="0" applyFont="1" applyFill="1"/>
    <xf numFmtId="0" fontId="21" fillId="0" borderId="3" xfId="0" applyFont="1" applyBorder="1" applyAlignment="1">
      <alignment wrapText="1"/>
    </xf>
    <xf numFmtId="0" fontId="21" fillId="0" borderId="3" xfId="0" applyFont="1" applyBorder="1"/>
    <xf numFmtId="1" fontId="24" fillId="0" borderId="5" xfId="0" applyNumberFormat="1" applyFont="1" applyBorder="1" applyAlignment="1">
      <alignment horizontal="center"/>
    </xf>
    <xf numFmtId="1" fontId="24" fillId="0" borderId="6" xfId="0" applyNumberFormat="1" applyFont="1" applyBorder="1" applyAlignment="1">
      <alignment horizontal="center"/>
    </xf>
    <xf numFmtId="171" fontId="19" fillId="0" borderId="4" xfId="0" applyNumberFormat="1" applyFont="1" applyBorder="1"/>
    <xf numFmtId="171" fontId="19" fillId="0" borderId="5" xfId="0" applyNumberFormat="1" applyFont="1" applyBorder="1"/>
    <xf numFmtId="171" fontId="19" fillId="0" borderId="10" xfId="0" applyNumberFormat="1" applyFont="1" applyBorder="1"/>
    <xf numFmtId="172" fontId="19" fillId="0" borderId="10" xfId="0" applyNumberFormat="1" applyFont="1" applyBorder="1"/>
    <xf numFmtId="167" fontId="19" fillId="0" borderId="11" xfId="0" applyNumberFormat="1" applyFont="1" applyBorder="1"/>
    <xf numFmtId="167" fontId="19" fillId="0" borderId="0" xfId="0" applyNumberFormat="1" applyFont="1"/>
    <xf numFmtId="167" fontId="19" fillId="0" borderId="4" xfId="0" applyNumberFormat="1" applyFont="1" applyBorder="1"/>
    <xf numFmtId="167" fontId="19" fillId="0" borderId="5" xfId="0" applyNumberFormat="1" applyFont="1" applyBorder="1"/>
    <xf numFmtId="167" fontId="19" fillId="0" borderId="10" xfId="0" applyNumberFormat="1" applyFont="1" applyBorder="1"/>
    <xf numFmtId="167" fontId="19" fillId="0" borderId="11" xfId="0" applyNumberFormat="1" applyFont="1" applyBorder="1" applyAlignment="1">
      <alignment wrapText="1"/>
    </xf>
    <xf numFmtId="167" fontId="19" fillId="0" borderId="17" xfId="0" applyNumberFormat="1" applyFont="1" applyBorder="1"/>
    <xf numFmtId="0" fontId="30" fillId="0" borderId="0" xfId="0" applyFont="1" applyAlignment="1">
      <alignment horizontal="left" wrapText="1"/>
    </xf>
    <xf numFmtId="0" fontId="19" fillId="0" borderId="1" xfId="0" applyFont="1" applyBorder="1" applyAlignment="1">
      <alignment horizontal="centerContinuous" vertical="center" shrinkToFit="1"/>
    </xf>
    <xf numFmtId="0" fontId="3" fillId="0" borderId="1" xfId="0" applyFont="1" applyBorder="1" applyAlignment="1">
      <alignment horizontal="right" vertical="center" shrinkToFit="1"/>
    </xf>
    <xf numFmtId="0" fontId="19" fillId="0" borderId="0" xfId="0" applyFont="1" applyAlignment="1">
      <alignment horizontal="centerContinuous" vertical="center"/>
    </xf>
    <xf numFmtId="0" fontId="0" fillId="0" borderId="0" xfId="0" applyAlignment="1">
      <alignment horizontal="right" vertical="center"/>
    </xf>
    <xf numFmtId="0" fontId="20" fillId="0" borderId="0" xfId="0" applyFont="1" applyAlignment="1">
      <alignment horizontal="centerContinuous" vertical="center"/>
    </xf>
    <xf numFmtId="0" fontId="20" fillId="0" borderId="0" xfId="0" applyFont="1" applyAlignment="1">
      <alignment horizontal="right" vertical="center"/>
    </xf>
    <xf numFmtId="0" fontId="18" fillId="0" borderId="0" xfId="0" applyFont="1" applyAlignment="1">
      <alignment horizontal="right"/>
    </xf>
    <xf numFmtId="49" fontId="24" fillId="0" borderId="4" xfId="0" applyNumberFormat="1" applyFont="1" applyBorder="1" applyAlignment="1">
      <alignment vertical="center"/>
    </xf>
    <xf numFmtId="49" fontId="24" fillId="0" borderId="0" xfId="0" applyNumberFormat="1" applyFont="1" applyAlignment="1">
      <alignment vertical="center"/>
    </xf>
    <xf numFmtId="0" fontId="24" fillId="0" borderId="0" xfId="0" applyFont="1" applyAlignment="1">
      <alignment vertical="center"/>
    </xf>
    <xf numFmtId="0" fontId="19" fillId="0" borderId="0" xfId="0" applyFont="1" applyAlignment="1">
      <alignment horizontal="left" indent="1"/>
    </xf>
    <xf numFmtId="166" fontId="19" fillId="0" borderId="6" xfId="0" applyNumberFormat="1" applyFont="1" applyBorder="1" applyAlignment="1">
      <alignment horizontal="right"/>
    </xf>
    <xf numFmtId="167" fontId="19" fillId="0" borderId="4" xfId="0" applyNumberFormat="1" applyFont="1" applyBorder="1" applyAlignment="1">
      <alignment horizontal="right"/>
    </xf>
    <xf numFmtId="167" fontId="19" fillId="0" borderId="5" xfId="0" applyNumberFormat="1" applyFont="1" applyBorder="1" applyAlignment="1">
      <alignment horizontal="right"/>
    </xf>
    <xf numFmtId="167" fontId="19" fillId="0" borderId="10" xfId="0" applyNumberFormat="1" applyFont="1" applyBorder="1" applyAlignment="1">
      <alignment horizontal="right"/>
    </xf>
    <xf numFmtId="168" fontId="19" fillId="0" borderId="10" xfId="0" applyNumberFormat="1" applyFont="1" applyBorder="1" applyAlignment="1">
      <alignment horizontal="right"/>
    </xf>
    <xf numFmtId="0" fontId="25" fillId="0" borderId="0" xfId="0" applyFont="1" applyAlignment="1">
      <alignment horizontal="left" wrapText="1"/>
    </xf>
    <xf numFmtId="0" fontId="19" fillId="0" borderId="0" xfId="0" applyFont="1" applyAlignment="1">
      <alignment horizontal="right"/>
    </xf>
    <xf numFmtId="3" fontId="19" fillId="0" borderId="0" xfId="0" applyNumberFormat="1" applyFont="1" applyAlignment="1">
      <alignment wrapText="1"/>
    </xf>
    <xf numFmtId="1" fontId="19" fillId="0" borderId="13" xfId="0" applyNumberFormat="1" applyFont="1" applyBorder="1" applyAlignment="1">
      <alignment vertical="center" wrapText="1"/>
    </xf>
    <xf numFmtId="1" fontId="19" fillId="0" borderId="14" xfId="0" applyNumberFormat="1" applyFont="1" applyBorder="1" applyAlignment="1">
      <alignment vertical="center" wrapText="1"/>
    </xf>
    <xf numFmtId="0" fontId="19" fillId="0" borderId="17" xfId="0" applyFont="1" applyBorder="1" applyAlignment="1">
      <alignment horizontal="left" vertical="center"/>
    </xf>
    <xf numFmtId="175" fontId="19" fillId="0" borderId="12" xfId="0" applyNumberFormat="1" applyFont="1" applyBorder="1" applyAlignment="1">
      <alignment horizontal="right"/>
    </xf>
    <xf numFmtId="0" fontId="19" fillId="0" borderId="11" xfId="0" applyFont="1" applyBorder="1" applyAlignment="1">
      <alignment vertical="center" wrapText="1"/>
    </xf>
    <xf numFmtId="49" fontId="19" fillId="0" borderId="17" xfId="0" applyNumberFormat="1" applyFont="1" applyBorder="1" applyAlignment="1">
      <alignment vertical="center" wrapText="1"/>
    </xf>
    <xf numFmtId="0" fontId="19" fillId="0" borderId="11" xfId="0" applyFont="1" applyBorder="1" applyAlignment="1">
      <alignment vertical="center"/>
    </xf>
    <xf numFmtId="0" fontId="19" fillId="0" borderId="17" xfId="0" applyFont="1" applyBorder="1" applyAlignment="1">
      <alignment vertical="center" wrapText="1"/>
    </xf>
    <xf numFmtId="0" fontId="19" fillId="0" borderId="13" xfId="0" applyFont="1" applyBorder="1" applyAlignment="1">
      <alignment vertical="center" wrapText="1"/>
    </xf>
    <xf numFmtId="0" fontId="19" fillId="0" borderId="14" xfId="0" applyFont="1" applyBorder="1" applyAlignment="1">
      <alignment vertical="center" wrapText="1"/>
    </xf>
    <xf numFmtId="49" fontId="24" fillId="0" borderId="4" xfId="0" applyNumberFormat="1" applyFont="1" applyBorder="1" applyAlignment="1">
      <alignment horizontal="left" vertical="center"/>
    </xf>
    <xf numFmtId="0" fontId="19" fillId="0" borderId="5" xfId="0" applyFont="1" applyBorder="1" applyAlignment="1">
      <alignment horizontal="left" vertical="center"/>
    </xf>
    <xf numFmtId="0" fontId="19" fillId="0" borderId="5" xfId="0" quotePrefix="1" applyFont="1" applyBorder="1" applyAlignment="1">
      <alignment horizontal="left" vertical="center"/>
    </xf>
    <xf numFmtId="166" fontId="19" fillId="0" borderId="6" xfId="0" applyNumberFormat="1" applyFont="1" applyBorder="1" applyAlignment="1">
      <alignment horizontal="right" vertical="center"/>
    </xf>
    <xf numFmtId="167" fontId="19" fillId="0" borderId="4" xfId="0" applyNumberFormat="1" applyFont="1" applyBorder="1" applyAlignment="1">
      <alignment vertical="center"/>
    </xf>
    <xf numFmtId="167" fontId="19" fillId="0" borderId="5" xfId="0" applyNumberFormat="1" applyFont="1" applyBorder="1" applyAlignment="1">
      <alignment vertical="center"/>
    </xf>
    <xf numFmtId="167" fontId="19" fillId="0" borderId="10" xfId="0" applyNumberFormat="1" applyFont="1" applyBorder="1" applyAlignment="1">
      <alignment horizontal="right" vertical="center"/>
    </xf>
    <xf numFmtId="167" fontId="19" fillId="0" borderId="4" xfId="0" applyNumberFormat="1" applyFont="1" applyBorder="1" applyAlignment="1">
      <alignment horizontal="right" vertical="center"/>
    </xf>
    <xf numFmtId="168" fontId="19" fillId="0" borderId="10" xfId="0" applyNumberFormat="1" applyFont="1" applyBorder="1" applyAlignment="1">
      <alignment horizontal="right" vertical="center"/>
    </xf>
    <xf numFmtId="0" fontId="24" fillId="4" borderId="11" xfId="0" applyFont="1" applyFill="1" applyBorder="1" applyAlignment="1">
      <alignment horizontal="left" vertical="center"/>
    </xf>
    <xf numFmtId="0" fontId="24" fillId="4" borderId="0" xfId="0" applyFont="1" applyFill="1" applyAlignment="1">
      <alignment horizontal="left" vertical="center"/>
    </xf>
    <xf numFmtId="0" fontId="24" fillId="4" borderId="0" xfId="0" applyFont="1" applyFill="1" applyAlignment="1">
      <alignment vertical="center"/>
    </xf>
    <xf numFmtId="0" fontId="24" fillId="4" borderId="17" xfId="0" applyFont="1" applyFill="1" applyBorder="1" applyAlignment="1">
      <alignment vertical="center"/>
    </xf>
    <xf numFmtId="49" fontId="19" fillId="0" borderId="11" xfId="0" applyNumberFormat="1" applyFont="1" applyBorder="1" applyAlignment="1">
      <alignment horizontal="left" vertical="center"/>
    </xf>
    <xf numFmtId="0" fontId="19" fillId="0" borderId="0" xfId="0" applyFont="1" applyAlignment="1">
      <alignment horizontal="left" vertical="center"/>
    </xf>
    <xf numFmtId="165" fontId="19" fillId="0" borderId="0" xfId="0" applyNumberFormat="1" applyFont="1" applyAlignment="1">
      <alignment horizontal="left" vertical="center"/>
    </xf>
    <xf numFmtId="166" fontId="19" fillId="0" borderId="12" xfId="0" applyNumberFormat="1" applyFont="1" applyBorder="1" applyAlignment="1">
      <alignment horizontal="right" vertical="center"/>
    </xf>
    <xf numFmtId="167" fontId="19" fillId="0" borderId="11" xfId="0" applyNumberFormat="1" applyFont="1" applyBorder="1" applyAlignment="1">
      <alignment horizontal="right" vertical="center"/>
    </xf>
    <xf numFmtId="167" fontId="19" fillId="0" borderId="0" xfId="0" applyNumberFormat="1" applyFont="1" applyAlignment="1">
      <alignment horizontal="right" vertical="center"/>
    </xf>
    <xf numFmtId="167" fontId="19" fillId="0" borderId="17" xfId="0" applyNumberFormat="1" applyFont="1" applyBorder="1" applyAlignment="1">
      <alignment horizontal="right" vertical="center"/>
    </xf>
    <xf numFmtId="168" fontId="19" fillId="0" borderId="17" xfId="0" applyNumberFormat="1" applyFont="1" applyBorder="1" applyAlignment="1">
      <alignment horizontal="right" vertical="center"/>
    </xf>
    <xf numFmtId="0" fontId="24" fillId="4" borderId="4" xfId="0" applyFont="1" applyFill="1" applyBorder="1" applyAlignment="1">
      <alignment horizontal="left" vertical="center"/>
    </xf>
    <xf numFmtId="0" fontId="24" fillId="4" borderId="5" xfId="0" applyFont="1" applyFill="1" applyBorder="1" applyAlignment="1">
      <alignment horizontal="left" vertical="center"/>
    </xf>
    <xf numFmtId="0" fontId="24" fillId="4" borderId="5" xfId="0" applyFont="1" applyFill="1" applyBorder="1" applyAlignment="1">
      <alignment vertical="center"/>
    </xf>
    <xf numFmtId="0" fontId="24" fillId="4" borderId="0" xfId="0" applyFont="1" applyFill="1" applyAlignment="1">
      <alignment horizontal="right" vertical="center"/>
    </xf>
    <xf numFmtId="165" fontId="19" fillId="5" borderId="0" xfId="0" applyNumberFormat="1" applyFont="1" applyFill="1" applyAlignment="1">
      <alignment horizontal="left" vertical="center"/>
    </xf>
    <xf numFmtId="0" fontId="19" fillId="5" borderId="0" xfId="0" applyFont="1" applyFill="1" applyAlignment="1">
      <alignment horizontal="left" vertical="center"/>
    </xf>
    <xf numFmtId="49" fontId="19" fillId="0" borderId="13" xfId="0" applyNumberFormat="1" applyFont="1" applyBorder="1" applyAlignment="1">
      <alignment horizontal="left" vertical="center"/>
    </xf>
    <xf numFmtId="0" fontId="19" fillId="0" borderId="3" xfId="0" applyFont="1" applyBorder="1" applyAlignment="1">
      <alignment horizontal="left" vertical="center"/>
    </xf>
    <xf numFmtId="165" fontId="19" fillId="0" borderId="3" xfId="0" applyNumberFormat="1" applyFont="1" applyBorder="1" applyAlignment="1">
      <alignment horizontal="left" vertical="center"/>
    </xf>
    <xf numFmtId="166" fontId="19" fillId="0" borderId="15" xfId="0" applyNumberFormat="1" applyFont="1" applyBorder="1" applyAlignment="1">
      <alignment horizontal="right" vertical="center"/>
    </xf>
    <xf numFmtId="167" fontId="19" fillId="0" borderId="13" xfId="0" applyNumberFormat="1" applyFont="1" applyBorder="1" applyAlignment="1">
      <alignment horizontal="right" vertical="center"/>
    </xf>
    <xf numFmtId="167" fontId="19" fillId="0" borderId="3" xfId="0" applyNumberFormat="1" applyFont="1" applyBorder="1" applyAlignment="1">
      <alignment horizontal="right" vertical="center"/>
    </xf>
    <xf numFmtId="167" fontId="19" fillId="0" borderId="14" xfId="0" applyNumberFormat="1" applyFont="1" applyBorder="1" applyAlignment="1">
      <alignment horizontal="right" vertical="center"/>
    </xf>
    <xf numFmtId="0" fontId="26" fillId="5" borderId="0" xfId="0" applyFont="1" applyFill="1" applyAlignment="1">
      <alignment horizontal="left"/>
    </xf>
    <xf numFmtId="0" fontId="25" fillId="5" borderId="0" xfId="0" applyFont="1" applyFill="1" applyAlignment="1">
      <alignment horizontal="left"/>
    </xf>
    <xf numFmtId="3" fontId="19" fillId="0" borderId="11" xfId="0" applyNumberFormat="1" applyFont="1" applyBorder="1"/>
    <xf numFmtId="3" fontId="19" fillId="0" borderId="17" xfId="0" applyNumberFormat="1" applyFont="1" applyBorder="1"/>
    <xf numFmtId="171" fontId="19" fillId="0" borderId="11" xfId="0" applyNumberFormat="1" applyFont="1" applyBorder="1"/>
    <xf numFmtId="172" fontId="19" fillId="0" borderId="17" xfId="0" applyNumberFormat="1" applyFont="1" applyBorder="1"/>
    <xf numFmtId="167" fontId="19" fillId="0" borderId="18" xfId="0" applyNumberFormat="1" applyFont="1" applyBorder="1" applyAlignment="1">
      <alignment horizontal="right"/>
    </xf>
    <xf numFmtId="168" fontId="19" fillId="0" borderId="19" xfId="0" applyNumberFormat="1" applyFont="1" applyBorder="1" applyAlignment="1">
      <alignment horizontal="right"/>
    </xf>
    <xf numFmtId="0" fontId="19" fillId="0" borderId="5" xfId="0" applyFont="1" applyBorder="1" applyAlignment="1">
      <alignment horizontal="left" wrapText="1"/>
    </xf>
    <xf numFmtId="169" fontId="25" fillId="0" borderId="0" xfId="0" applyNumberFormat="1" applyFont="1" applyAlignment="1">
      <alignment horizontal="left"/>
    </xf>
    <xf numFmtId="3" fontId="25" fillId="0" borderId="0" xfId="0" applyNumberFormat="1" applyFont="1" applyAlignment="1">
      <alignment horizontal="left"/>
    </xf>
    <xf numFmtId="165" fontId="25" fillId="0" borderId="0" xfId="0" applyNumberFormat="1" applyFont="1" applyAlignment="1">
      <alignment horizontal="right" vertical="top"/>
    </xf>
    <xf numFmtId="49" fontId="25" fillId="0" borderId="0" xfId="0" applyNumberFormat="1" applyFont="1" applyAlignment="1">
      <alignment horizontal="left"/>
    </xf>
    <xf numFmtId="170" fontId="19" fillId="0" borderId="0" xfId="0" applyNumberFormat="1" applyFont="1" applyAlignment="1">
      <alignment horizontal="left"/>
    </xf>
    <xf numFmtId="3" fontId="19" fillId="0" borderId="0" xfId="0" applyNumberFormat="1" applyFont="1" applyAlignment="1">
      <alignment horizontal="left"/>
    </xf>
    <xf numFmtId="165" fontId="19" fillId="0" borderId="0" xfId="0" applyNumberFormat="1" applyFont="1" applyAlignment="1">
      <alignment horizontal="left"/>
    </xf>
    <xf numFmtId="167" fontId="19" fillId="0" borderId="5" xfId="0" applyNumberFormat="1" applyFont="1" applyBorder="1" applyAlignment="1">
      <alignment horizontal="right" vertical="center"/>
    </xf>
    <xf numFmtId="0" fontId="25" fillId="0" borderId="0" xfId="0" applyFont="1" applyAlignment="1">
      <alignment horizontal="left" vertical="center"/>
    </xf>
    <xf numFmtId="165" fontId="25" fillId="0" borderId="0" xfId="0" applyNumberFormat="1" applyFont="1" applyAlignment="1">
      <alignment horizontal="left"/>
    </xf>
    <xf numFmtId="0" fontId="33" fillId="0" borderId="1" xfId="0" applyFont="1" applyBorder="1" applyAlignment="1">
      <alignment horizontal="left" vertical="center"/>
    </xf>
    <xf numFmtId="0" fontId="33" fillId="0" borderId="1" xfId="0" applyFont="1" applyBorder="1" applyAlignment="1">
      <alignment horizontal="centerContinuous" vertical="center" shrinkToFit="1"/>
    </xf>
    <xf numFmtId="0" fontId="34" fillId="0" borderId="1" xfId="0" applyFont="1" applyBorder="1" applyAlignment="1">
      <alignment horizontal="centerContinuous" vertical="center" shrinkToFit="1"/>
    </xf>
    <xf numFmtId="0" fontId="33" fillId="0" borderId="1" xfId="0" applyFont="1" applyBorder="1" applyAlignment="1">
      <alignment vertical="center"/>
    </xf>
    <xf numFmtId="3" fontId="19" fillId="5" borderId="6" xfId="0" applyNumberFormat="1" applyFont="1" applyFill="1" applyBorder="1" applyAlignment="1">
      <alignment horizontal="center" vertical="center"/>
    </xf>
    <xf numFmtId="165" fontId="19" fillId="5" borderId="6" xfId="0" applyNumberFormat="1" applyFont="1" applyFill="1" applyBorder="1" applyAlignment="1">
      <alignment horizontal="center" vertical="center"/>
    </xf>
    <xf numFmtId="3" fontId="23" fillId="5" borderId="20" xfId="0" applyNumberFormat="1" applyFont="1" applyFill="1" applyBorder="1" applyAlignment="1">
      <alignment horizontal="center" vertical="center"/>
    </xf>
    <xf numFmtId="3" fontId="23" fillId="5" borderId="21" xfId="0" applyNumberFormat="1" applyFont="1" applyFill="1" applyBorder="1" applyAlignment="1">
      <alignment horizontal="center" vertical="center"/>
    </xf>
    <xf numFmtId="3" fontId="23" fillId="0" borderId="23" xfId="0" applyNumberFormat="1" applyFont="1" applyBorder="1" applyAlignment="1">
      <alignment horizontal="center" vertical="center"/>
    </xf>
    <xf numFmtId="3" fontId="23" fillId="0" borderId="25" xfId="0" applyNumberFormat="1" applyFont="1" applyBorder="1" applyAlignment="1">
      <alignment horizontal="center" vertical="center"/>
    </xf>
    <xf numFmtId="0" fontId="24" fillId="0" borderId="26" xfId="0" applyFont="1" applyBorder="1" applyAlignment="1">
      <alignment horizontal="left"/>
    </xf>
    <xf numFmtId="0" fontId="24" fillId="0" borderId="0" xfId="0" applyFont="1" applyAlignment="1">
      <alignment horizontal="left"/>
    </xf>
    <xf numFmtId="1" fontId="19" fillId="0" borderId="0" xfId="0" applyNumberFormat="1" applyFont="1" applyAlignment="1">
      <alignment horizontal="center" vertical="center"/>
    </xf>
    <xf numFmtId="1" fontId="19" fillId="0" borderId="17" xfId="0" applyNumberFormat="1" applyFont="1" applyBorder="1" applyAlignment="1">
      <alignment horizontal="center" vertical="center"/>
    </xf>
    <xf numFmtId="176" fontId="19" fillId="0" borderId="27" xfId="0" applyNumberFormat="1" applyFont="1" applyBorder="1" applyAlignment="1">
      <alignment horizontal="right"/>
    </xf>
    <xf numFmtId="0" fontId="19" fillId="0" borderId="26" xfId="0" applyFont="1" applyBorder="1" applyAlignment="1">
      <alignment horizontal="left"/>
    </xf>
    <xf numFmtId="0" fontId="19" fillId="0" borderId="28" xfId="0" applyFont="1" applyBorder="1" applyAlignment="1">
      <alignment horizontal="left" vertical="top"/>
    </xf>
    <xf numFmtId="0" fontId="19" fillId="0" borderId="29" xfId="0" applyFont="1" applyBorder="1" applyAlignment="1">
      <alignment vertical="top"/>
    </xf>
    <xf numFmtId="1" fontId="19" fillId="0" borderId="30" xfId="0" applyNumberFormat="1" applyFont="1" applyBorder="1" applyAlignment="1">
      <alignment horizontal="center" vertical="center"/>
    </xf>
    <xf numFmtId="1" fontId="19" fillId="0" borderId="31" xfId="0" applyNumberFormat="1" applyFont="1" applyBorder="1" applyAlignment="1">
      <alignment horizontal="center" vertical="center"/>
    </xf>
    <xf numFmtId="176" fontId="19" fillId="0" borderId="32" xfId="0" applyNumberFormat="1" applyFont="1" applyBorder="1" applyAlignment="1">
      <alignment horizontal="right"/>
    </xf>
    <xf numFmtId="165" fontId="19" fillId="5" borderId="23" xfId="0" applyNumberFormat="1" applyFont="1" applyFill="1" applyBorder="1" applyAlignment="1">
      <alignment horizontal="right"/>
    </xf>
    <xf numFmtId="171" fontId="19" fillId="5" borderId="22" xfId="0" applyNumberFormat="1" applyFont="1" applyFill="1" applyBorder="1" applyAlignment="1">
      <alignment horizontal="right"/>
    </xf>
    <xf numFmtId="176" fontId="19" fillId="5" borderId="24" xfId="0" applyNumberFormat="1" applyFont="1" applyFill="1" applyBorder="1" applyAlignment="1">
      <alignment horizontal="right"/>
    </xf>
    <xf numFmtId="0" fontId="24" fillId="5" borderId="26" xfId="0" applyFont="1" applyFill="1" applyBorder="1" applyAlignment="1">
      <alignment horizontal="left"/>
    </xf>
    <xf numFmtId="0" fontId="24" fillId="5" borderId="0" xfId="0" applyFont="1" applyFill="1" applyAlignment="1">
      <alignment horizontal="left"/>
    </xf>
    <xf numFmtId="1" fontId="19" fillId="5" borderId="0" xfId="0" applyNumberFormat="1" applyFont="1" applyFill="1" applyAlignment="1">
      <alignment horizontal="center" vertical="center"/>
    </xf>
    <xf numFmtId="1" fontId="19" fillId="5" borderId="17" xfId="0" applyNumberFormat="1" applyFont="1" applyFill="1" applyBorder="1" applyAlignment="1">
      <alignment horizontal="center" vertical="center"/>
    </xf>
    <xf numFmtId="167" fontId="19" fillId="5" borderId="26" xfId="0" applyNumberFormat="1" applyFont="1" applyFill="1" applyBorder="1" applyAlignment="1">
      <alignment horizontal="right"/>
    </xf>
    <xf numFmtId="168" fontId="19" fillId="5" borderId="27" xfId="0" applyNumberFormat="1" applyFont="1" applyFill="1" applyBorder="1" applyAlignment="1">
      <alignment horizontal="right"/>
    </xf>
    <xf numFmtId="0" fontId="19" fillId="5" borderId="26" xfId="0" applyFont="1" applyFill="1" applyBorder="1" applyAlignment="1">
      <alignment horizontal="left"/>
    </xf>
    <xf numFmtId="0" fontId="19" fillId="5" borderId="0" xfId="0" applyFont="1" applyFill="1" applyAlignment="1">
      <alignment horizontal="left"/>
    </xf>
    <xf numFmtId="49" fontId="19" fillId="5" borderId="11" xfId="0" applyNumberFormat="1" applyFont="1" applyFill="1" applyBorder="1"/>
    <xf numFmtId="49" fontId="19" fillId="5" borderId="0" xfId="0" applyNumberFormat="1" applyFont="1" applyFill="1"/>
    <xf numFmtId="0" fontId="19" fillId="5" borderId="0" xfId="0" applyFont="1" applyFill="1"/>
    <xf numFmtId="49" fontId="19" fillId="5" borderId="33" xfId="0" applyNumberFormat="1" applyFont="1" applyFill="1" applyBorder="1"/>
    <xf numFmtId="49" fontId="19" fillId="5" borderId="30" xfId="0" applyNumberFormat="1" applyFont="1" applyFill="1" applyBorder="1"/>
    <xf numFmtId="1" fontId="19" fillId="5" borderId="30" xfId="0" applyNumberFormat="1" applyFont="1" applyFill="1" applyBorder="1" applyAlignment="1">
      <alignment horizontal="center" vertical="center"/>
    </xf>
    <xf numFmtId="1" fontId="19" fillId="5" borderId="31" xfId="0" applyNumberFormat="1" applyFont="1" applyFill="1" applyBorder="1" applyAlignment="1">
      <alignment horizontal="center" vertical="center"/>
    </xf>
    <xf numFmtId="168" fontId="19" fillId="5" borderId="32" xfId="0" applyNumberFormat="1" applyFont="1" applyFill="1" applyBorder="1" applyAlignment="1">
      <alignment horizontal="right"/>
    </xf>
    <xf numFmtId="49" fontId="24" fillId="5" borderId="22" xfId="0" applyNumberFormat="1" applyFont="1" applyFill="1" applyBorder="1"/>
    <xf numFmtId="170" fontId="24" fillId="5" borderId="23" xfId="0" applyNumberFormat="1" applyFont="1" applyFill="1" applyBorder="1"/>
    <xf numFmtId="0" fontId="24" fillId="5" borderId="23" xfId="0" applyFont="1" applyFill="1" applyBorder="1"/>
    <xf numFmtId="170" fontId="24" fillId="5" borderId="24" xfId="0" applyNumberFormat="1" applyFont="1" applyFill="1" applyBorder="1"/>
    <xf numFmtId="176" fontId="19" fillId="5" borderId="17" xfId="0" applyNumberFormat="1" applyFont="1" applyFill="1" applyBorder="1" applyAlignment="1">
      <alignment horizontal="right"/>
    </xf>
    <xf numFmtId="0" fontId="19" fillId="5" borderId="26" xfId="0" applyFont="1" applyFill="1" applyBorder="1"/>
    <xf numFmtId="49" fontId="19" fillId="5" borderId="0" xfId="0" applyNumberFormat="1" applyFont="1" applyFill="1" applyAlignment="1">
      <alignment horizontal="left"/>
    </xf>
    <xf numFmtId="170" fontId="19" fillId="5" borderId="17" xfId="0" applyNumberFormat="1" applyFont="1" applyFill="1" applyBorder="1"/>
    <xf numFmtId="170" fontId="19" fillId="5" borderId="0" xfId="0" applyNumberFormat="1" applyFont="1" applyFill="1"/>
    <xf numFmtId="169" fontId="19" fillId="5" borderId="0" xfId="0" applyNumberFormat="1" applyFont="1" applyFill="1"/>
    <xf numFmtId="169" fontId="19" fillId="5" borderId="17" xfId="0" applyNumberFormat="1" applyFont="1" applyFill="1" applyBorder="1"/>
    <xf numFmtId="0" fontId="19" fillId="5" borderId="28" xfId="0" applyFont="1" applyFill="1" applyBorder="1"/>
    <xf numFmtId="170" fontId="19" fillId="5" borderId="30" xfId="0" applyNumberFormat="1" applyFont="1" applyFill="1" applyBorder="1"/>
    <xf numFmtId="49" fontId="19" fillId="5" borderId="30" xfId="0" applyNumberFormat="1" applyFont="1" applyFill="1" applyBorder="1" applyAlignment="1">
      <alignment horizontal="left"/>
    </xf>
    <xf numFmtId="170" fontId="19" fillId="5" borderId="31" xfId="0" applyNumberFormat="1" applyFont="1" applyFill="1" applyBorder="1"/>
    <xf numFmtId="176" fontId="19" fillId="5" borderId="14" xfId="0" applyNumberFormat="1" applyFont="1" applyFill="1" applyBorder="1" applyAlignment="1">
      <alignment horizontal="right"/>
    </xf>
    <xf numFmtId="0" fontId="22" fillId="0" borderId="0" xfId="0" applyFont="1"/>
    <xf numFmtId="0" fontId="0" fillId="0" borderId="0" xfId="0" applyAlignment="1">
      <alignment horizontal="center"/>
    </xf>
    <xf numFmtId="0" fontId="19" fillId="0" borderId="0" xfId="0" applyFont="1" applyAlignment="1">
      <alignment horizontal="left" vertical="center" wrapText="1"/>
    </xf>
    <xf numFmtId="0" fontId="20" fillId="0" borderId="0" xfId="0" applyFont="1" applyAlignment="1">
      <alignment horizontal="centerContinuous" vertical="top"/>
    </xf>
    <xf numFmtId="1" fontId="19" fillId="0" borderId="16" xfId="0" applyNumberFormat="1" applyFont="1" applyBorder="1" applyAlignment="1">
      <alignment horizontal="center" vertical="center" wrapText="1"/>
    </xf>
    <xf numFmtId="164" fontId="19" fillId="0" borderId="16" xfId="0" applyNumberFormat="1" applyFont="1" applyBorder="1" applyAlignment="1">
      <alignment horizontal="center" vertical="center" wrapText="1"/>
    </xf>
    <xf numFmtId="164" fontId="19" fillId="0" borderId="7" xfId="0" applyNumberFormat="1" applyFont="1" applyBorder="1" applyAlignment="1">
      <alignment horizontal="center" vertical="center" wrapText="1"/>
    </xf>
    <xf numFmtId="0" fontId="19" fillId="0" borderId="7" xfId="0" applyFont="1" applyBorder="1" applyAlignment="1">
      <alignment horizontal="center" vertical="center"/>
    </xf>
    <xf numFmtId="1" fontId="19" fillId="5" borderId="16" xfId="0" applyNumberFormat="1" applyFont="1" applyFill="1" applyBorder="1" applyAlignment="1">
      <alignment horizontal="center" vertical="center" wrapText="1"/>
    </xf>
    <xf numFmtId="0" fontId="19" fillId="5" borderId="16" xfId="0" applyFont="1" applyFill="1" applyBorder="1" applyAlignment="1">
      <alignment horizontal="center" vertical="center"/>
    </xf>
    <xf numFmtId="1" fontId="23" fillId="0" borderId="7" xfId="0" applyNumberFormat="1" applyFont="1" applyBorder="1" applyAlignment="1">
      <alignment horizontal="center" vertical="center"/>
    </xf>
    <xf numFmtId="1" fontId="23" fillId="5" borderId="16" xfId="0" applyNumberFormat="1" applyFont="1" applyFill="1" applyBorder="1" applyAlignment="1">
      <alignment horizontal="center" vertical="center"/>
    </xf>
    <xf numFmtId="177" fontId="19" fillId="0" borderId="12" xfId="0" applyNumberFormat="1" applyFont="1" applyBorder="1" applyAlignment="1">
      <alignment horizontal="left"/>
    </xf>
    <xf numFmtId="167" fontId="19" fillId="5" borderId="11" xfId="0" applyNumberFormat="1" applyFont="1" applyFill="1" applyBorder="1" applyAlignment="1">
      <alignment horizontal="right"/>
    </xf>
    <xf numFmtId="167" fontId="19" fillId="5" borderId="17" xfId="0" applyNumberFormat="1" applyFont="1" applyFill="1" applyBorder="1" applyAlignment="1">
      <alignment horizontal="right"/>
    </xf>
    <xf numFmtId="177" fontId="19" fillId="0" borderId="12" xfId="0" quotePrefix="1" applyNumberFormat="1" applyFont="1" applyBorder="1" applyAlignment="1">
      <alignment horizontal="left"/>
    </xf>
    <xf numFmtId="167" fontId="19" fillId="5" borderId="13" xfId="0" applyNumberFormat="1" applyFont="1" applyFill="1" applyBorder="1" applyAlignment="1">
      <alignment horizontal="right"/>
    </xf>
    <xf numFmtId="167" fontId="19" fillId="5" borderId="14" xfId="0" applyNumberFormat="1" applyFont="1" applyFill="1" applyBorder="1" applyAlignment="1">
      <alignment horizontal="right"/>
    </xf>
    <xf numFmtId="0" fontId="19" fillId="0" borderId="5" xfId="0" applyFont="1" applyBorder="1" applyAlignment="1">
      <alignment horizontal="left"/>
    </xf>
    <xf numFmtId="0" fontId="12" fillId="0" borderId="0" xfId="0" applyFont="1"/>
    <xf numFmtId="0" fontId="0" fillId="0" borderId="1" xfId="0" applyBorder="1" applyAlignment="1">
      <alignment horizontal="right"/>
    </xf>
    <xf numFmtId="0" fontId="0" fillId="0" borderId="0" xfId="0" applyAlignment="1">
      <alignment horizontal="left" vertical="top"/>
    </xf>
    <xf numFmtId="0" fontId="13" fillId="0" borderId="0" xfId="0" applyFont="1" applyAlignment="1">
      <alignment horizontal="left" vertical="top"/>
    </xf>
    <xf numFmtId="0" fontId="0" fillId="0" borderId="0" xfId="0" applyAlignment="1">
      <alignment horizontal="justify" vertical="top"/>
    </xf>
    <xf numFmtId="0" fontId="10" fillId="0" borderId="0" xfId="0" applyFont="1" applyAlignment="1">
      <alignment horizontal="justify" vertical="top" wrapText="1"/>
    </xf>
    <xf numFmtId="0" fontId="0" fillId="0" borderId="0" xfId="0" applyAlignment="1">
      <alignment horizontal="justify"/>
    </xf>
    <xf numFmtId="0" fontId="39" fillId="0" borderId="0" xfId="0" applyFont="1" applyAlignment="1">
      <alignment horizontal="justify" vertical="top" wrapText="1"/>
    </xf>
    <xf numFmtId="0" fontId="3" fillId="0" borderId="0" xfId="0" applyFont="1" applyAlignment="1">
      <alignment horizontal="left" vertical="top"/>
    </xf>
    <xf numFmtId="0" fontId="10" fillId="0" borderId="0" xfId="0" applyFont="1" applyAlignment="1">
      <alignment horizontal="left" vertical="top" wrapText="1"/>
    </xf>
    <xf numFmtId="0" fontId="0" fillId="0" borderId="0" xfId="0" applyAlignment="1">
      <alignment horizontal="justify" vertical="top" wrapText="1"/>
    </xf>
    <xf numFmtId="0" fontId="4" fillId="0" borderId="0" xfId="0" applyFont="1" applyAlignment="1">
      <alignment horizontal="left" vertical="top" wrapText="1"/>
    </xf>
    <xf numFmtId="0" fontId="10" fillId="0" borderId="0" xfId="0" applyFont="1" applyAlignment="1">
      <alignment horizontal="left" vertical="top"/>
    </xf>
    <xf numFmtId="0" fontId="40" fillId="0" borderId="0" xfId="0" applyFont="1" applyAlignment="1">
      <alignment horizontal="left" vertical="top"/>
    </xf>
    <xf numFmtId="0" fontId="0" fillId="0" borderId="0" xfId="0" applyAlignment="1">
      <alignment horizontal="left" vertical="top" wrapText="1"/>
    </xf>
    <xf numFmtId="0" fontId="9" fillId="0" borderId="0" xfId="0" applyFont="1" applyAlignment="1">
      <alignment horizontal="left" vertical="top"/>
    </xf>
    <xf numFmtId="0" fontId="10" fillId="5" borderId="0" xfId="3" applyFont="1" applyFill="1"/>
    <xf numFmtId="0" fontId="43" fillId="5" borderId="0" xfId="4" applyFont="1" applyFill="1"/>
    <xf numFmtId="0" fontId="44" fillId="0" borderId="0" xfId="4" applyFont="1" applyAlignment="1">
      <alignment horizontal="right" readingOrder="1"/>
    </xf>
    <xf numFmtId="0" fontId="2" fillId="5" borderId="0" xfId="4" applyFont="1" applyFill="1"/>
    <xf numFmtId="0" fontId="43" fillId="5" borderId="0" xfId="4" applyFont="1" applyFill="1" applyAlignment="1">
      <alignment horizontal="justify" vertical="top" wrapText="1"/>
    </xf>
    <xf numFmtId="0" fontId="43" fillId="5" borderId="0" xfId="4" applyFont="1" applyFill="1" applyAlignment="1">
      <alignment horizontal="left" wrapText="1"/>
    </xf>
    <xf numFmtId="0" fontId="47" fillId="5" borderId="0" xfId="5" applyFont="1" applyFill="1" applyAlignment="1">
      <alignment horizontal="left" wrapText="1"/>
    </xf>
    <xf numFmtId="0" fontId="3" fillId="0" borderId="0" xfId="6"/>
    <xf numFmtId="0" fontId="3" fillId="0" borderId="0" xfId="6" applyAlignment="1">
      <alignment horizontal="right" vertical="center"/>
    </xf>
    <xf numFmtId="0" fontId="3" fillId="0" borderId="0" xfId="6" applyAlignment="1">
      <alignment horizontal="left" vertical="top"/>
    </xf>
    <xf numFmtId="0" fontId="13" fillId="0" borderId="0" xfId="2" applyFont="1" applyAlignment="1">
      <alignment horizontal="left" vertical="top"/>
    </xf>
    <xf numFmtId="0" fontId="41" fillId="5" borderId="0" xfId="4" applyFont="1" applyFill="1" applyAlignment="1">
      <alignment horizontal="justify" vertical="top" wrapText="1"/>
    </xf>
    <xf numFmtId="0" fontId="4" fillId="5" borderId="0" xfId="5" applyFont="1" applyFill="1" applyAlignment="1">
      <alignment horizontal="left" wrapText="1"/>
    </xf>
    <xf numFmtId="0" fontId="48" fillId="0" borderId="0" xfId="7" applyFont="1" applyAlignment="1">
      <alignment horizontal="left" vertical="top"/>
    </xf>
    <xf numFmtId="0" fontId="9" fillId="0" borderId="0" xfId="7" applyFont="1" applyAlignment="1">
      <alignment horizontal="left" vertical="top"/>
    </xf>
    <xf numFmtId="0" fontId="4" fillId="0" borderId="0" xfId="8" applyFont="1" applyAlignment="1">
      <alignment horizontal="left" vertical="top" wrapText="1"/>
    </xf>
    <xf numFmtId="0" fontId="13" fillId="0" borderId="0" xfId="6" applyFont="1" applyAlignment="1">
      <alignment horizontal="left" vertical="top"/>
    </xf>
    <xf numFmtId="0" fontId="10" fillId="0" borderId="0" xfId="6" applyFont="1" applyAlignment="1">
      <alignment horizontal="justify" vertical="top" wrapText="1"/>
    </xf>
    <xf numFmtId="0" fontId="3" fillId="0" borderId="0" xfId="6" applyAlignment="1">
      <alignment horizontal="left" vertical="top" wrapText="1"/>
    </xf>
    <xf numFmtId="0" fontId="3" fillId="0" borderId="0" xfId="6" applyAlignment="1">
      <alignment horizontal="justify" vertical="top" wrapText="1"/>
    </xf>
    <xf numFmtId="0" fontId="47" fillId="0" borderId="0" xfId="9" applyFont="1" applyAlignment="1" applyProtection="1">
      <alignment horizontal="left" vertical="top" wrapText="1"/>
    </xf>
    <xf numFmtId="0" fontId="12" fillId="0" borderId="0" xfId="6" applyFont="1" applyAlignment="1">
      <alignment horizontal="justify" vertical="top" wrapText="1"/>
    </xf>
    <xf numFmtId="0" fontId="3" fillId="0" borderId="0" xfId="6" applyAlignment="1">
      <alignment horizontal="justify" vertical="top"/>
    </xf>
    <xf numFmtId="0" fontId="47" fillId="0" borderId="0" xfId="9" applyFont="1" applyAlignment="1" applyProtection="1">
      <alignment horizontal="justify" vertical="top" wrapText="1"/>
    </xf>
    <xf numFmtId="0" fontId="3" fillId="0" borderId="0" xfId="6" applyAlignment="1">
      <alignment horizontal="justify"/>
    </xf>
    <xf numFmtId="0" fontId="4" fillId="0" borderId="0" xfId="9" applyAlignment="1" applyProtection="1">
      <alignment horizontal="justify" vertical="top" wrapText="1"/>
    </xf>
    <xf numFmtId="0" fontId="10" fillId="0" borderId="0" xfId="6" applyFont="1" applyAlignment="1">
      <alignment horizontal="left" vertical="top" wrapText="1"/>
    </xf>
    <xf numFmtId="0" fontId="4" fillId="0" borderId="0" xfId="8" applyFont="1" applyAlignment="1">
      <alignment vertical="top" wrapText="1"/>
    </xf>
    <xf numFmtId="0" fontId="1" fillId="0" borderId="0" xfId="7"/>
    <xf numFmtId="0" fontId="9" fillId="0" borderId="0" xfId="7" applyFont="1" applyAlignment="1">
      <alignment horizontal="right" vertical="center"/>
    </xf>
    <xf numFmtId="0" fontId="1" fillId="0" borderId="0" xfId="7" applyAlignment="1">
      <alignment horizontal="left" vertical="top"/>
    </xf>
    <xf numFmtId="0" fontId="13" fillId="0" borderId="0" xfId="7" applyFont="1" applyAlignment="1">
      <alignment horizontal="left" vertical="top" wrapText="1"/>
    </xf>
    <xf numFmtId="0" fontId="44" fillId="0" borderId="0" xfId="7" applyFont="1" applyAlignment="1">
      <alignment horizontal="justify" vertical="top" wrapText="1"/>
    </xf>
    <xf numFmtId="0" fontId="43" fillId="0" borderId="0" xfId="7" applyFont="1" applyAlignment="1">
      <alignment horizontal="left" vertical="top" wrapText="1"/>
    </xf>
    <xf numFmtId="0" fontId="49" fillId="0" borderId="0" xfId="7" applyFont="1" applyAlignment="1">
      <alignment horizontal="justify" vertical="top" wrapText="1"/>
    </xf>
    <xf numFmtId="0" fontId="50" fillId="0" borderId="0" xfId="7" applyFont="1"/>
    <xf numFmtId="1" fontId="0" fillId="0" borderId="0" xfId="0" applyNumberFormat="1"/>
    <xf numFmtId="165" fontId="0" fillId="6" borderId="0" xfId="0" applyNumberFormat="1" applyFill="1"/>
    <xf numFmtId="165" fontId="0" fillId="7" borderId="0" xfId="0" applyNumberFormat="1" applyFill="1"/>
    <xf numFmtId="165" fontId="0" fillId="0" borderId="0" xfId="0" applyNumberFormat="1"/>
    <xf numFmtId="164" fontId="0" fillId="0" borderId="0" xfId="0" applyNumberFormat="1"/>
    <xf numFmtId="0" fontId="0" fillId="0" borderId="0" xfId="0" applyAlignment="1">
      <alignment horizontal="center" vertical="center" wrapText="1"/>
    </xf>
    <xf numFmtId="164" fontId="0" fillId="8" borderId="0" xfId="0" applyNumberFormat="1" applyFill="1"/>
    <xf numFmtId="3" fontId="0" fillId="8" borderId="0" xfId="0" applyNumberFormat="1" applyFill="1" applyAlignment="1">
      <alignment horizontal="right"/>
    </xf>
    <xf numFmtId="17" fontId="0" fillId="0" borderId="0" xfId="0" applyNumberFormat="1"/>
    <xf numFmtId="17" fontId="0" fillId="8" borderId="0" xfId="0" applyNumberFormat="1" applyFill="1"/>
    <xf numFmtId="165" fontId="0" fillId="9" borderId="0" xfId="0" applyNumberFormat="1" applyFill="1"/>
    <xf numFmtId="17" fontId="0" fillId="9" borderId="0" xfId="0" applyNumberFormat="1" applyFill="1"/>
    <xf numFmtId="3" fontId="0" fillId="8" borderId="0" xfId="0" quotePrefix="1" applyNumberFormat="1" applyFill="1" applyAlignment="1">
      <alignment horizontal="right"/>
    </xf>
    <xf numFmtId="0" fontId="10" fillId="0" borderId="0" xfId="10" applyFont="1"/>
    <xf numFmtId="0" fontId="8" fillId="0" borderId="0" xfId="11" applyBorder="1" applyAlignment="1" applyProtection="1">
      <alignment horizontal="right"/>
    </xf>
    <xf numFmtId="0" fontId="51" fillId="0" borderId="0" xfId="10" applyFont="1" applyAlignment="1">
      <alignment horizontal="left" indent="10"/>
    </xf>
    <xf numFmtId="0" fontId="3" fillId="0" borderId="0" xfId="10" applyAlignment="1">
      <alignment horizontal="left"/>
    </xf>
    <xf numFmtId="0" fontId="19" fillId="5" borderId="0" xfId="10" applyFont="1" applyFill="1" applyAlignment="1">
      <alignment horizontal="right"/>
    </xf>
    <xf numFmtId="0" fontId="3" fillId="0" borderId="0" xfId="10" applyAlignment="1">
      <alignment horizontal="left" vertical="top" wrapText="1"/>
    </xf>
    <xf numFmtId="0" fontId="11" fillId="0" borderId="0" xfId="10" applyFont="1"/>
    <xf numFmtId="0" fontId="17" fillId="0" borderId="0" xfId="10" applyFont="1"/>
    <xf numFmtId="0" fontId="34" fillId="0" borderId="0" xfId="10" applyFont="1" applyAlignment="1">
      <alignment horizontal="left"/>
    </xf>
    <xf numFmtId="0" fontId="34" fillId="0" borderId="0" xfId="12" applyFont="1"/>
    <xf numFmtId="0" fontId="52" fillId="5" borderId="0" xfId="13" applyFont="1" applyFill="1" applyAlignment="1" applyProtection="1">
      <alignment vertical="top" wrapText="1"/>
    </xf>
    <xf numFmtId="0" fontId="33" fillId="0" borderId="0" xfId="12" applyFont="1" applyAlignment="1">
      <alignment horizontal="center"/>
    </xf>
    <xf numFmtId="0" fontId="33" fillId="0" borderId="0" xfId="10" applyFont="1" applyAlignment="1">
      <alignment horizontal="left"/>
    </xf>
    <xf numFmtId="0" fontId="53" fillId="0" borderId="0" xfId="12" applyFont="1" applyAlignment="1">
      <alignment horizontal="left" indent="10"/>
    </xf>
    <xf numFmtId="0" fontId="3" fillId="0" borderId="0" xfId="10"/>
    <xf numFmtId="0" fontId="51" fillId="0" borderId="0" xfId="12" applyFont="1" applyAlignment="1">
      <alignment horizontal="left" vertical="top" wrapText="1" indent="2"/>
    </xf>
    <xf numFmtId="0" fontId="53" fillId="0" borderId="0" xfId="12" applyFont="1" applyAlignment="1">
      <alignment horizontal="center"/>
    </xf>
    <xf numFmtId="0" fontId="3" fillId="0" borderId="0" xfId="10" applyAlignment="1">
      <alignment horizontal="left" indent="3"/>
    </xf>
    <xf numFmtId="0" fontId="12" fillId="0" borderId="0" xfId="10" applyFont="1" applyAlignment="1">
      <alignment horizontal="left" vertical="top" wrapText="1"/>
    </xf>
    <xf numFmtId="0" fontId="8" fillId="0" borderId="0" xfId="11" applyAlignment="1" applyProtection="1">
      <alignment wrapText="1"/>
    </xf>
    <xf numFmtId="0" fontId="8" fillId="0" borderId="0" xfId="11" applyAlignment="1" applyProtection="1">
      <alignment horizontal="left" vertical="center" indent="2"/>
    </xf>
    <xf numFmtId="0" fontId="8" fillId="0" borderId="0" xfId="11" applyFill="1" applyAlignment="1" applyProtection="1">
      <alignment horizontal="left" wrapText="1" indent="2"/>
    </xf>
    <xf numFmtId="0" fontId="8" fillId="0" borderId="0" xfId="13" applyFill="1" applyAlignment="1" applyProtection="1">
      <alignment horizontal="left" wrapText="1" indent="2"/>
    </xf>
    <xf numFmtId="0" fontId="8" fillId="0" borderId="0" xfId="13" applyFill="1" applyAlignment="1" applyProtection="1">
      <alignment horizontal="left" indent="2"/>
    </xf>
    <xf numFmtId="0" fontId="8" fillId="0" borderId="0" xfId="11" applyFill="1" applyAlignment="1" applyProtection="1"/>
    <xf numFmtId="0" fontId="8" fillId="0" borderId="0" xfId="13" applyFill="1" applyAlignment="1" applyProtection="1">
      <alignment wrapText="1"/>
    </xf>
    <xf numFmtId="0" fontId="1" fillId="0" borderId="0" xfId="12" applyAlignment="1">
      <alignment wrapText="1"/>
    </xf>
    <xf numFmtId="0" fontId="3" fillId="0" borderId="0" xfId="10" applyAlignment="1">
      <alignment wrapText="1"/>
    </xf>
    <xf numFmtId="0" fontId="10" fillId="0" borderId="0" xfId="10" applyFont="1" applyAlignment="1">
      <alignment horizontal="left"/>
    </xf>
    <xf numFmtId="0" fontId="8" fillId="0" borderId="0" xfId="13" applyFill="1" applyBorder="1" applyAlignment="1" applyProtection="1">
      <alignment horizontal="left" wrapText="1" indent="2"/>
    </xf>
    <xf numFmtId="0" fontId="3" fillId="0" borderId="0" xfId="12" applyFont="1" applyAlignment="1">
      <alignment horizontal="left"/>
    </xf>
    <xf numFmtId="0" fontId="8" fillId="0" borderId="0" xfId="11" applyFill="1" applyAlignment="1" applyProtection="1">
      <alignment horizontal="left"/>
    </xf>
    <xf numFmtId="167" fontId="19" fillId="0" borderId="27" xfId="0" applyNumberFormat="1" applyFont="1" applyBorder="1" applyAlignment="1">
      <alignment horizontal="right"/>
    </xf>
    <xf numFmtId="167" fontId="19" fillId="0" borderId="26" xfId="0" applyNumberFormat="1" applyFont="1" applyBorder="1" applyAlignment="1">
      <alignment horizontal="right"/>
    </xf>
    <xf numFmtId="167" fontId="19" fillId="0" borderId="30" xfId="0" applyNumberFormat="1" applyFont="1" applyBorder="1" applyAlignment="1">
      <alignment horizontal="right"/>
    </xf>
    <xf numFmtId="167" fontId="19" fillId="0" borderId="32" xfId="0" applyNumberFormat="1" applyFont="1" applyBorder="1" applyAlignment="1">
      <alignment horizontal="right"/>
    </xf>
    <xf numFmtId="167" fontId="19" fillId="0" borderId="28" xfId="0" applyNumberFormat="1" applyFont="1" applyBorder="1" applyAlignment="1">
      <alignment horizontal="right"/>
    </xf>
    <xf numFmtId="168" fontId="19" fillId="5" borderId="0" xfId="0" applyNumberFormat="1" applyFont="1" applyFill="1" applyAlignment="1">
      <alignment horizontal="right"/>
    </xf>
    <xf numFmtId="168" fontId="19" fillId="5" borderId="26" xfId="0" applyNumberFormat="1" applyFont="1" applyFill="1" applyBorder="1" applyAlignment="1">
      <alignment horizontal="right"/>
    </xf>
    <xf numFmtId="168" fontId="19" fillId="0" borderId="30" xfId="0" applyNumberFormat="1" applyFont="1" applyBorder="1" applyAlignment="1">
      <alignment horizontal="right"/>
    </xf>
    <xf numFmtId="168" fontId="19" fillId="0" borderId="32" xfId="0" applyNumberFormat="1" applyFont="1" applyBorder="1" applyAlignment="1">
      <alignment horizontal="right"/>
    </xf>
    <xf numFmtId="168" fontId="19" fillId="5" borderId="28" xfId="0" applyNumberFormat="1" applyFont="1" applyFill="1" applyBorder="1" applyAlignment="1">
      <alignment horizontal="right"/>
    </xf>
    <xf numFmtId="167" fontId="19" fillId="5" borderId="0" xfId="0" applyNumberFormat="1" applyFont="1" applyFill="1" applyAlignment="1">
      <alignment horizontal="right"/>
    </xf>
    <xf numFmtId="167" fontId="19" fillId="5" borderId="27" xfId="0" applyNumberFormat="1" applyFont="1" applyFill="1" applyBorder="1" applyAlignment="1">
      <alignment horizontal="right"/>
    </xf>
    <xf numFmtId="167" fontId="19" fillId="5" borderId="3" xfId="0" applyNumberFormat="1" applyFont="1" applyFill="1" applyBorder="1" applyAlignment="1">
      <alignment horizontal="right"/>
    </xf>
    <xf numFmtId="167" fontId="19" fillId="5" borderId="34" xfId="0" applyNumberFormat="1" applyFont="1" applyFill="1" applyBorder="1" applyAlignment="1">
      <alignment horizontal="right"/>
    </xf>
    <xf numFmtId="168" fontId="19" fillId="0" borderId="14" xfId="0" applyNumberFormat="1" applyFont="1" applyBorder="1" applyAlignment="1">
      <alignment horizontal="right" vertical="center"/>
    </xf>
    <xf numFmtId="179" fontId="19" fillId="0" borderId="11" xfId="0" applyNumberFormat="1" applyFont="1" applyBorder="1" applyAlignment="1">
      <alignment horizontal="right" vertical="center"/>
    </xf>
    <xf numFmtId="179" fontId="19" fillId="0" borderId="0" xfId="0" applyNumberFormat="1" applyFont="1" applyAlignment="1">
      <alignment horizontal="right" vertical="center"/>
    </xf>
    <xf numFmtId="179" fontId="19" fillId="0" borderId="17" xfId="0" applyNumberFormat="1" applyFont="1" applyBorder="1" applyAlignment="1">
      <alignment horizontal="right" vertical="center"/>
    </xf>
    <xf numFmtId="179" fontId="19" fillId="0" borderId="13" xfId="0" applyNumberFormat="1" applyFont="1" applyBorder="1" applyAlignment="1">
      <alignment horizontal="right" vertical="center"/>
    </xf>
    <xf numFmtId="179" fontId="19" fillId="0" borderId="3" xfId="0" applyNumberFormat="1" applyFont="1" applyBorder="1" applyAlignment="1">
      <alignment horizontal="right" vertical="center"/>
    </xf>
    <xf numFmtId="179" fontId="19" fillId="0" borderId="14" xfId="0" applyNumberFormat="1" applyFont="1" applyBorder="1" applyAlignment="1">
      <alignment horizontal="right" vertical="center"/>
    </xf>
    <xf numFmtId="0" fontId="3" fillId="0" borderId="0" xfId="0" applyFont="1" applyAlignment="1">
      <alignment horizontal="left" wrapText="1"/>
    </xf>
    <xf numFmtId="0" fontId="3" fillId="0" borderId="0" xfId="0" applyFont="1" applyAlignment="1">
      <alignment horizontal="left" vertical="center" wrapText="1"/>
    </xf>
    <xf numFmtId="164" fontId="19" fillId="0" borderId="6" xfId="0" applyNumberFormat="1" applyFont="1" applyBorder="1" applyAlignment="1">
      <alignment horizontal="center" vertical="center" wrapText="1"/>
    </xf>
    <xf numFmtId="164" fontId="19" fillId="0" borderId="15" xfId="0" applyNumberFormat="1" applyFont="1" applyBorder="1" applyAlignment="1">
      <alignment horizontal="center" vertical="center" wrapText="1"/>
    </xf>
    <xf numFmtId="0" fontId="25" fillId="0" borderId="0" xfId="0" applyFont="1" applyAlignment="1">
      <alignment horizontal="left" wrapText="1"/>
    </xf>
    <xf numFmtId="0" fontId="25" fillId="0" borderId="0" xfId="0" applyFont="1" applyAlignment="1">
      <alignment horizontal="left"/>
    </xf>
    <xf numFmtId="0" fontId="25" fillId="0" borderId="0" xfId="0" applyFont="1" applyAlignment="1">
      <alignment horizontal="left" vertical="center" wrapText="1"/>
    </xf>
    <xf numFmtId="0" fontId="25" fillId="0" borderId="0" xfId="0" applyFont="1" applyAlignment="1">
      <alignment horizontal="left" vertical="center"/>
    </xf>
    <xf numFmtId="0" fontId="12" fillId="0" borderId="0" xfId="0" applyFont="1" applyAlignment="1">
      <alignment horizontal="left" vertical="center" wrapText="1"/>
    </xf>
    <xf numFmtId="0" fontId="12" fillId="0" borderId="0" xfId="0" applyFont="1" applyAlignment="1">
      <alignment horizontal="left" vertical="center"/>
    </xf>
    <xf numFmtId="0" fontId="19" fillId="0" borderId="0" xfId="0" applyFont="1" applyAlignment="1">
      <alignment horizontal="left" vertical="center"/>
    </xf>
    <xf numFmtId="0" fontId="19" fillId="0" borderId="0" xfId="0" applyFont="1" applyAlignment="1">
      <alignment horizontal="left" vertical="center" wrapText="1"/>
    </xf>
    <xf numFmtId="0" fontId="21" fillId="0" borderId="3" xfId="0" applyFont="1" applyBorder="1" applyAlignment="1">
      <alignment horizontal="left" wrapText="1"/>
    </xf>
    <xf numFmtId="0" fontId="21" fillId="0" borderId="3" xfId="0" applyFont="1" applyBorder="1" applyAlignment="1">
      <alignment horizontal="left"/>
    </xf>
    <xf numFmtId="1" fontId="19" fillId="0" borderId="4" xfId="0" applyNumberFormat="1" applyFont="1" applyBorder="1" applyAlignment="1">
      <alignment horizontal="center" vertical="center"/>
    </xf>
    <xf numFmtId="1" fontId="19" fillId="0" borderId="5" xfId="0" applyNumberFormat="1" applyFont="1" applyBorder="1" applyAlignment="1">
      <alignment horizontal="center" vertical="center"/>
    </xf>
    <xf numFmtId="1" fontId="19" fillId="0" borderId="11" xfId="0" applyNumberFormat="1" applyFont="1" applyBorder="1" applyAlignment="1">
      <alignment horizontal="center" vertical="center"/>
    </xf>
    <xf numFmtId="1" fontId="19" fillId="0" borderId="0" xfId="0" applyNumberFormat="1" applyFont="1" applyAlignment="1">
      <alignment horizontal="center" vertical="center"/>
    </xf>
    <xf numFmtId="1" fontId="19" fillId="0" borderId="13" xfId="0" applyNumberFormat="1" applyFont="1" applyBorder="1" applyAlignment="1">
      <alignment horizontal="center" vertical="center"/>
    </xf>
    <xf numFmtId="1" fontId="19" fillId="0" borderId="3" xfId="0" applyNumberFormat="1" applyFont="1" applyBorder="1" applyAlignment="1">
      <alignment horizontal="center" vertical="center"/>
    </xf>
    <xf numFmtId="1" fontId="19" fillId="0" borderId="6" xfId="0" applyNumberFormat="1" applyFont="1" applyBorder="1" applyAlignment="1">
      <alignment horizontal="center" vertical="center" wrapText="1"/>
    </xf>
    <xf numFmtId="1" fontId="19" fillId="0" borderId="12" xfId="0" applyNumberFormat="1" applyFont="1" applyBorder="1" applyAlignment="1">
      <alignment horizontal="center" vertical="center" wrapText="1"/>
    </xf>
    <xf numFmtId="1" fontId="19" fillId="0" borderId="15" xfId="0" applyNumberFormat="1" applyFont="1" applyBorder="1" applyAlignment="1">
      <alignment horizontal="center" vertical="center" wrapText="1"/>
    </xf>
    <xf numFmtId="0" fontId="19" fillId="0" borderId="7" xfId="0" applyFont="1" applyBorder="1" applyAlignment="1">
      <alignment horizontal="center" vertical="center"/>
    </xf>
    <xf numFmtId="0" fontId="19" fillId="0" borderId="8" xfId="0" applyFont="1" applyBorder="1" applyAlignment="1">
      <alignment horizontal="center" vertical="center"/>
    </xf>
    <xf numFmtId="0" fontId="19" fillId="0" borderId="9" xfId="0" applyFont="1" applyBorder="1" applyAlignment="1">
      <alignment horizontal="center" vertical="center"/>
    </xf>
    <xf numFmtId="1" fontId="19" fillId="0" borderId="4" xfId="0" applyNumberFormat="1" applyFont="1" applyBorder="1" applyAlignment="1">
      <alignment horizontal="center" vertical="center" wrapText="1"/>
    </xf>
    <xf numFmtId="1" fontId="19" fillId="0" borderId="10" xfId="0" applyNumberFormat="1" applyFont="1" applyBorder="1" applyAlignment="1">
      <alignment horizontal="center" vertical="center" wrapText="1"/>
    </xf>
    <xf numFmtId="1" fontId="19" fillId="0" borderId="13" xfId="0" applyNumberFormat="1" applyFont="1" applyBorder="1" applyAlignment="1">
      <alignment horizontal="center" vertical="center" wrapText="1"/>
    </xf>
    <xf numFmtId="1" fontId="19" fillId="0" borderId="14" xfId="0" applyNumberFormat="1" applyFont="1" applyBorder="1" applyAlignment="1">
      <alignment horizontal="center" vertical="center" wrapText="1"/>
    </xf>
    <xf numFmtId="167" fontId="19" fillId="0" borderId="0" xfId="0" applyNumberFormat="1" applyFont="1" applyAlignment="1">
      <alignment horizontal="left" vertical="center" wrapText="1"/>
    </xf>
    <xf numFmtId="170" fontId="19" fillId="0" borderId="0" xfId="0" applyNumberFormat="1" applyFont="1" applyAlignment="1">
      <alignment horizontal="left" vertical="center" wrapText="1"/>
    </xf>
    <xf numFmtId="0" fontId="25" fillId="0" borderId="0" xfId="0" applyFont="1" applyAlignment="1">
      <alignment horizontal="left" vertical="top" wrapText="1"/>
    </xf>
    <xf numFmtId="173" fontId="19" fillId="0" borderId="11" xfId="0" applyNumberFormat="1" applyFont="1" applyBorder="1" applyAlignment="1">
      <alignment horizontal="left" vertical="center"/>
    </xf>
    <xf numFmtId="173" fontId="19" fillId="0" borderId="0" xfId="0" applyNumberFormat="1" applyFont="1" applyAlignment="1">
      <alignment horizontal="left" vertical="center"/>
    </xf>
    <xf numFmtId="173" fontId="19" fillId="0" borderId="17" xfId="0" applyNumberFormat="1" applyFont="1" applyBorder="1" applyAlignment="1">
      <alignment horizontal="left" vertical="center"/>
    </xf>
    <xf numFmtId="0" fontId="24" fillId="0" borderId="11" xfId="0" applyFont="1" applyBorder="1" applyAlignment="1">
      <alignment horizontal="left" vertical="center" wrapText="1"/>
    </xf>
    <xf numFmtId="0" fontId="24" fillId="0" borderId="0" xfId="0" applyFont="1" applyAlignment="1">
      <alignment horizontal="left" vertical="center" wrapText="1"/>
    </xf>
    <xf numFmtId="0" fontId="19" fillId="0" borderId="0" xfId="0" applyFont="1" applyAlignment="1">
      <alignment horizontal="left" wrapText="1"/>
    </xf>
    <xf numFmtId="0" fontId="19" fillId="0" borderId="0" xfId="0" applyFont="1" applyAlignment="1">
      <alignment horizontal="center"/>
    </xf>
    <xf numFmtId="0" fontId="19" fillId="0" borderId="3" xfId="0" applyFont="1" applyBorder="1" applyAlignment="1">
      <alignment horizontal="center" vertical="top"/>
    </xf>
    <xf numFmtId="0" fontId="24" fillId="0" borderId="11" xfId="0" applyFont="1" applyBorder="1" applyAlignment="1">
      <alignment horizontal="left" wrapText="1"/>
    </xf>
    <xf numFmtId="0" fontId="24" fillId="0" borderId="0" xfId="0" applyFont="1" applyAlignment="1">
      <alignment horizontal="left" wrapText="1"/>
    </xf>
    <xf numFmtId="0" fontId="24" fillId="0" borderId="17" xfId="0" applyFont="1" applyBorder="1" applyAlignment="1">
      <alignment horizontal="left" wrapText="1"/>
    </xf>
    <xf numFmtId="0" fontId="19" fillId="0" borderId="17" xfId="0" applyFont="1" applyBorder="1" applyAlignment="1">
      <alignment horizontal="left" wrapText="1"/>
    </xf>
    <xf numFmtId="0" fontId="24" fillId="0" borderId="4" xfId="0" applyFont="1" applyBorder="1" applyAlignment="1">
      <alignment horizontal="left" wrapText="1"/>
    </xf>
    <xf numFmtId="0" fontId="24" fillId="0" borderId="5" xfId="0" applyFont="1" applyBorder="1" applyAlignment="1">
      <alignment horizontal="left" wrapText="1"/>
    </xf>
    <xf numFmtId="0" fontId="24" fillId="0" borderId="10" xfId="0" applyFont="1" applyBorder="1" applyAlignment="1">
      <alignment horizontal="left" wrapText="1"/>
    </xf>
    <xf numFmtId="49" fontId="19" fillId="0" borderId="0" xfId="0" applyNumberFormat="1" applyFont="1"/>
    <xf numFmtId="0" fontId="24" fillId="0" borderId="4" xfId="0" applyFont="1" applyBorder="1" applyAlignment="1">
      <alignment horizontal="left" vertical="center" wrapText="1"/>
    </xf>
    <xf numFmtId="0" fontId="24" fillId="0" borderId="10" xfId="0" applyFont="1" applyBorder="1" applyAlignment="1">
      <alignment horizontal="left" vertical="center" wrapText="1"/>
    </xf>
    <xf numFmtId="1" fontId="19" fillId="0" borderId="11" xfId="0" applyNumberFormat="1" applyFont="1" applyBorder="1" applyAlignment="1">
      <alignment horizontal="center" vertical="center" wrapText="1"/>
    </xf>
    <xf numFmtId="1" fontId="19" fillId="0" borderId="17" xfId="0" applyNumberFormat="1" applyFont="1" applyBorder="1" applyAlignment="1">
      <alignment horizontal="center" vertical="center" wrapText="1"/>
    </xf>
    <xf numFmtId="0" fontId="25" fillId="5" borderId="0" xfId="0" applyFont="1" applyFill="1" applyAlignment="1">
      <alignment horizontal="left" wrapText="1"/>
    </xf>
    <xf numFmtId="0" fontId="32" fillId="0" borderId="0" xfId="0" applyFont="1" applyAlignment="1">
      <alignment horizontal="left" wrapText="1"/>
    </xf>
    <xf numFmtId="0" fontId="24" fillId="0" borderId="22" xfId="0" applyFont="1" applyBorder="1" applyAlignment="1">
      <alignment horizontal="left" wrapText="1"/>
    </xf>
    <xf numFmtId="0" fontId="24" fillId="0" borderId="23" xfId="0" applyFont="1" applyBorder="1" applyAlignment="1">
      <alignment horizontal="left" wrapText="1"/>
    </xf>
    <xf numFmtId="0" fontId="24" fillId="0" borderId="24" xfId="0" applyFont="1" applyBorder="1" applyAlignment="1">
      <alignment horizontal="left" wrapText="1"/>
    </xf>
    <xf numFmtId="0" fontId="24" fillId="5" borderId="22" xfId="0" applyFont="1" applyFill="1" applyBorder="1" applyAlignment="1">
      <alignment horizontal="left" wrapText="1"/>
    </xf>
    <xf numFmtId="0" fontId="24" fillId="5" borderId="23" xfId="0" applyFont="1" applyFill="1" applyBorder="1" applyAlignment="1">
      <alignment horizontal="left" wrapText="1"/>
    </xf>
    <xf numFmtId="0" fontId="24" fillId="5" borderId="24" xfId="0" applyFont="1" applyFill="1" applyBorder="1" applyAlignment="1">
      <alignment horizontal="left" wrapText="1"/>
    </xf>
    <xf numFmtId="0" fontId="26" fillId="0" borderId="0" xfId="0" applyFont="1" applyAlignment="1">
      <alignment horizontal="left" wrapText="1"/>
    </xf>
    <xf numFmtId="0" fontId="26" fillId="0" borderId="0" xfId="0" applyFont="1" applyAlignment="1">
      <alignment horizontal="left"/>
    </xf>
    <xf numFmtId="0" fontId="35" fillId="0" borderId="0" xfId="0" applyFont="1" applyAlignment="1">
      <alignment horizontal="left"/>
    </xf>
    <xf numFmtId="0" fontId="36" fillId="0" borderId="0" xfId="0" applyFont="1" applyAlignment="1">
      <alignment horizontal="left"/>
    </xf>
    <xf numFmtId="0" fontId="19" fillId="5" borderId="0" xfId="0" applyFont="1" applyFill="1" applyAlignment="1">
      <alignment horizontal="left"/>
    </xf>
    <xf numFmtId="1" fontId="19" fillId="5" borderId="16" xfId="0" applyNumberFormat="1" applyFont="1" applyFill="1" applyBorder="1" applyAlignment="1">
      <alignment horizontal="center" vertical="center"/>
    </xf>
    <xf numFmtId="1" fontId="19" fillId="5" borderId="6" xfId="0" applyNumberFormat="1" applyFont="1" applyFill="1" applyBorder="1" applyAlignment="1">
      <alignment horizontal="center" vertical="center"/>
    </xf>
    <xf numFmtId="1" fontId="19" fillId="5" borderId="4" xfId="0" applyNumberFormat="1" applyFont="1" applyFill="1" applyBorder="1" applyAlignment="1">
      <alignment horizontal="center" vertical="center"/>
    </xf>
    <xf numFmtId="0" fontId="19" fillId="5" borderId="4" xfId="0" applyFont="1" applyFill="1" applyBorder="1" applyAlignment="1">
      <alignment horizontal="center" vertical="center" wrapText="1"/>
    </xf>
    <xf numFmtId="0" fontId="19" fillId="5" borderId="5" xfId="0" applyFont="1" applyFill="1" applyBorder="1" applyAlignment="1">
      <alignment horizontal="center" vertical="center" wrapText="1"/>
    </xf>
    <xf numFmtId="0" fontId="19" fillId="5" borderId="10" xfId="0" applyFont="1" applyFill="1" applyBorder="1" applyAlignment="1">
      <alignment horizontal="center" vertical="center" wrapText="1"/>
    </xf>
    <xf numFmtId="49" fontId="19" fillId="5" borderId="16" xfId="0" applyNumberFormat="1" applyFont="1" applyFill="1" applyBorder="1" applyAlignment="1">
      <alignment horizontal="center" vertical="center" wrapText="1"/>
    </xf>
    <xf numFmtId="49" fontId="19" fillId="5" borderId="6" xfId="0" applyNumberFormat="1" applyFont="1" applyFill="1" applyBorder="1" applyAlignment="1">
      <alignment horizontal="center" vertical="center"/>
    </xf>
    <xf numFmtId="49" fontId="19" fillId="5" borderId="7" xfId="0" applyNumberFormat="1" applyFont="1" applyFill="1" applyBorder="1" applyAlignment="1">
      <alignment horizontal="center" vertical="center" wrapText="1"/>
    </xf>
    <xf numFmtId="49" fontId="19" fillId="5" borderId="9" xfId="0" applyNumberFormat="1" applyFont="1" applyFill="1" applyBorder="1" applyAlignment="1">
      <alignment horizontal="center" vertical="center" wrapText="1"/>
    </xf>
    <xf numFmtId="0" fontId="26" fillId="5" borderId="0" xfId="0" applyFont="1" applyFill="1" applyAlignment="1">
      <alignment horizontal="left" wrapText="1"/>
    </xf>
    <xf numFmtId="0" fontId="19" fillId="5" borderId="7" xfId="0" applyFont="1" applyFill="1" applyBorder="1" applyAlignment="1">
      <alignment horizontal="center" vertical="center" wrapText="1"/>
    </xf>
    <xf numFmtId="0" fontId="19" fillId="5" borderId="8" xfId="0" applyFont="1" applyFill="1" applyBorder="1" applyAlignment="1">
      <alignment horizontal="center" vertical="center"/>
    </xf>
    <xf numFmtId="0" fontId="19" fillId="5" borderId="9" xfId="0" applyFont="1" applyFill="1" applyBorder="1" applyAlignment="1">
      <alignment horizontal="center" vertical="center"/>
    </xf>
    <xf numFmtId="1" fontId="19" fillId="5" borderId="4" xfId="0" applyNumberFormat="1" applyFont="1" applyFill="1" applyBorder="1" applyAlignment="1">
      <alignment horizontal="center" vertical="center" wrapText="1"/>
    </xf>
    <xf numFmtId="1" fontId="19" fillId="5" borderId="10" xfId="0" applyNumberFormat="1" applyFont="1" applyFill="1" applyBorder="1" applyAlignment="1">
      <alignment horizontal="center" vertical="center" wrapText="1"/>
    </xf>
    <xf numFmtId="1" fontId="19" fillId="5" borderId="13" xfId="0" applyNumberFormat="1" applyFont="1" applyFill="1" applyBorder="1" applyAlignment="1">
      <alignment horizontal="center" vertical="center" wrapText="1"/>
    </xf>
    <xf numFmtId="1" fontId="19" fillId="5" borderId="14" xfId="0" applyNumberFormat="1" applyFont="1" applyFill="1" applyBorder="1" applyAlignment="1">
      <alignment horizontal="center" vertical="center" wrapText="1"/>
    </xf>
    <xf numFmtId="0" fontId="19"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9" xfId="0" applyFont="1" applyBorder="1" applyAlignment="1">
      <alignment horizontal="center" vertical="center" wrapText="1"/>
    </xf>
    <xf numFmtId="0" fontId="38" fillId="0" borderId="0" xfId="0" applyFont="1" applyAlignment="1">
      <alignment horizontal="left" wrapText="1"/>
    </xf>
    <xf numFmtId="0" fontId="12" fillId="0" borderId="0" xfId="0" applyFont="1" applyAlignment="1">
      <alignment horizontal="left" wrapText="1"/>
    </xf>
    <xf numFmtId="0" fontId="12" fillId="0" borderId="0" xfId="0" applyFont="1" applyAlignment="1">
      <alignment horizontal="justify" wrapText="1"/>
    </xf>
    <xf numFmtId="0" fontId="19" fillId="5" borderId="0" xfId="0" applyFont="1" applyFill="1" applyAlignment="1">
      <alignment horizontal="left" wrapText="1"/>
    </xf>
    <xf numFmtId="0" fontId="37" fillId="0" borderId="3" xfId="0" applyFont="1" applyBorder="1" applyAlignment="1">
      <alignment horizontal="left" wrapText="1"/>
    </xf>
    <xf numFmtId="1" fontId="19" fillId="0" borderId="16" xfId="0" applyNumberFormat="1" applyFont="1" applyBorder="1" applyAlignment="1">
      <alignment horizontal="center" vertical="center" wrapText="1"/>
    </xf>
    <xf numFmtId="1" fontId="19" fillId="0" borderId="7" xfId="0" applyNumberFormat="1" applyFont="1" applyBorder="1" applyAlignment="1">
      <alignment horizontal="center" vertical="center" wrapText="1"/>
    </xf>
    <xf numFmtId="0" fontId="19" fillId="5" borderId="7" xfId="0" applyFont="1" applyFill="1" applyBorder="1" applyAlignment="1">
      <alignment horizontal="center" wrapText="1"/>
    </xf>
    <xf numFmtId="0" fontId="10" fillId="5" borderId="9" xfId="0" applyFont="1" applyFill="1" applyBorder="1" applyAlignment="1">
      <alignment horizontal="center"/>
    </xf>
    <xf numFmtId="178" fontId="41" fillId="5" borderId="1" xfId="2" applyNumberFormat="1" applyFont="1" applyFill="1" applyBorder="1" applyAlignment="1">
      <alignment horizontal="right" vertical="center"/>
    </xf>
    <xf numFmtId="0" fontId="3" fillId="0" borderId="1" xfId="6" applyBorder="1" applyAlignment="1">
      <alignment horizontal="right" vertical="center"/>
    </xf>
    <xf numFmtId="0" fontId="9" fillId="0" borderId="1" xfId="7" applyFont="1" applyBorder="1" applyAlignment="1">
      <alignment horizontal="right" vertical="center"/>
    </xf>
    <xf numFmtId="0" fontId="0" fillId="0" borderId="0" xfId="0" applyAlignment="1">
      <alignment horizontal="center"/>
    </xf>
    <xf numFmtId="17" fontId="0" fillId="0" borderId="0" xfId="0" applyNumberFormat="1" applyAlignment="1">
      <alignment horizontal="center" vertical="center"/>
    </xf>
    <xf numFmtId="165" fontId="0" fillId="0" borderId="0" xfId="0" applyNumberFormat="1" applyAlignment="1">
      <alignment horizontal="center"/>
    </xf>
    <xf numFmtId="0" fontId="0" fillId="0" borderId="0" xfId="0" applyAlignment="1">
      <alignment horizontal="center" vertical="center" wrapText="1"/>
    </xf>
    <xf numFmtId="1" fontId="0" fillId="0" borderId="0" xfId="0" applyNumberFormat="1" applyAlignment="1">
      <alignment horizontal="left" vertical="top"/>
    </xf>
    <xf numFmtId="0" fontId="3" fillId="0" borderId="0" xfId="10" applyAlignment="1">
      <alignment horizontal="left" wrapText="1"/>
    </xf>
    <xf numFmtId="0" fontId="8" fillId="0" borderId="0" xfId="11" applyFill="1" applyAlignment="1" applyProtection="1">
      <alignment horizontal="left"/>
    </xf>
    <xf numFmtId="0" fontId="8" fillId="0" borderId="0" xfId="11" applyFill="1" applyAlignment="1" applyProtection="1">
      <alignment horizontal="left" wrapText="1" indent="2"/>
    </xf>
    <xf numFmtId="0" fontId="8" fillId="0" borderId="0" xfId="11" applyFill="1" applyAlignment="1" applyProtection="1"/>
    <xf numFmtId="0" fontId="8" fillId="0" borderId="0" xfId="11" applyAlignment="1" applyProtection="1"/>
    <xf numFmtId="0" fontId="8" fillId="0" borderId="0" xfId="11" applyFill="1" applyBorder="1" applyAlignment="1" applyProtection="1">
      <alignment horizontal="left" wrapText="1"/>
    </xf>
    <xf numFmtId="0" fontId="8" fillId="0" borderId="0" xfId="11" applyFill="1" applyAlignment="1" applyProtection="1">
      <alignment horizontal="left" wrapText="1"/>
    </xf>
    <xf numFmtId="0" fontId="8" fillId="0" borderId="0" xfId="11" applyFill="1" applyBorder="1" applyAlignment="1" applyProtection="1">
      <alignment horizontal="left" vertical="top" wrapText="1" indent="2"/>
    </xf>
    <xf numFmtId="0" fontId="8" fillId="0" borderId="0" xfId="11" applyFill="1" applyAlignment="1" applyProtection="1">
      <alignment horizontal="left" vertical="top" wrapText="1" indent="2"/>
    </xf>
    <xf numFmtId="0" fontId="8" fillId="0" borderId="0" xfId="11" applyFill="1" applyAlignment="1" applyProtection="1">
      <alignment horizontal="left" indent="2"/>
    </xf>
    <xf numFmtId="0" fontId="8" fillId="0" borderId="0" xfId="11" applyAlignment="1" applyProtection="1">
      <alignment horizontal="left" wrapText="1" indent="2"/>
    </xf>
    <xf numFmtId="0" fontId="10" fillId="5" borderId="35" xfId="10" applyFont="1" applyFill="1" applyBorder="1"/>
    <xf numFmtId="0" fontId="3" fillId="5" borderId="0" xfId="10" applyFill="1" applyAlignment="1">
      <alignment horizontal="left" wrapText="1"/>
    </xf>
    <xf numFmtId="0" fontId="12" fillId="5" borderId="0" xfId="10" applyFont="1" applyFill="1" applyAlignment="1">
      <alignment horizontal="left" wrapText="1"/>
    </xf>
    <xf numFmtId="0" fontId="8" fillId="0" borderId="0" xfId="11" applyAlignment="1" applyProtection="1">
      <alignment horizontal="left" vertical="top" wrapText="1"/>
    </xf>
    <xf numFmtId="0" fontId="8" fillId="5" borderId="0" xfId="11" applyFill="1" applyBorder="1" applyAlignment="1" applyProtection="1">
      <alignment horizontal="left" vertical="top" wrapText="1" indent="2"/>
    </xf>
  </cellXfs>
  <cellStyles count="14">
    <cellStyle name="Hyperlink" xfId="1" builtinId="8"/>
    <cellStyle name="Hyperlink 3 3" xfId="8" xr:uid="{19E259AD-F968-4D26-A9AD-7AB61F2F840B}"/>
    <cellStyle name="Link 2" xfId="5" xr:uid="{66B31493-B27B-4415-9C5D-0166B466A3AA}"/>
    <cellStyle name="Link 2 2" xfId="13" xr:uid="{3E424BA3-6476-4075-AF37-0D4DD163ABF6}"/>
    <cellStyle name="Link 3" xfId="9" xr:uid="{58719428-3398-4A6C-A458-CF34CD18EDD3}"/>
    <cellStyle name="Link 4" xfId="11" xr:uid="{C78E47F3-7047-4F20-8971-12F74A78CC7D}"/>
    <cellStyle name="Normal" xfId="0" builtinId="0"/>
    <cellStyle name="Standard 2" xfId="6" xr:uid="{1FD081AB-98FA-480D-A75E-4512D317451A}"/>
    <cellStyle name="Standard 2 2" xfId="10" xr:uid="{3B8E60BB-3E68-470E-A548-1F0B770B3E46}"/>
    <cellStyle name="Standard 2 4" xfId="12" xr:uid="{589F66E4-E6A0-4EC7-A223-54CF1A36CA01}"/>
    <cellStyle name="Standard 24" xfId="7" xr:uid="{19A9928B-87C1-4628-976A-5E04C6E60736}"/>
    <cellStyle name="Standard 3 4" xfId="2" xr:uid="{65B959BB-824F-491A-9A1F-2847849F8FD8}"/>
    <cellStyle name="Standard 8" xfId="4" xr:uid="{9DDDF222-84D3-4018-AEDA-E8C04A1D1801}"/>
    <cellStyle name="Standard_Vorlage Publikation" xfId="3" xr:uid="{E259FD25-15F3-4441-91CD-BF58997006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1" Type="http://schemas.openxmlformats.org/officeDocument/2006/relationships/image" Target="../media/image5.png"/></Relationships>
</file>

<file path=xl/charts/_rels/chart2.xml.rels><?xml version="1.0" encoding="UTF-8" standalone="yes"?>
<Relationships xmlns="http://schemas.openxmlformats.org/package/2006/relationships"><Relationship Id="rId1" Type="http://schemas.openxmlformats.org/officeDocument/2006/relationships/image" Target="../media/image5.png"/></Relationships>
</file>

<file path=xl/charts/_rels/chart3.xml.rels><?xml version="1.0" encoding="UTF-8" standalone="yes"?>
<Relationships xmlns="http://schemas.openxmlformats.org/package/2006/relationships"><Relationship Id="rId1" Type="http://schemas.openxmlformats.org/officeDocument/2006/relationships/image" Target="../media/image5.png"/></Relationships>
</file>

<file path=xl/charts/_rels/chart4.xml.rels><?xml version="1.0" encoding="UTF-8" standalone="yes"?>
<Relationships xmlns="http://schemas.openxmlformats.org/package/2006/relationships"><Relationship Id="rId1" Type="http://schemas.openxmlformats.org/officeDocument/2006/relationships/image" Target="../media/image5.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9278131634819531E-2"/>
          <c:y val="3.40135455096085E-2"/>
          <c:w val="0.90764331210191085"/>
          <c:h val="0.93878174679625559"/>
        </c:manualLayout>
      </c:layout>
      <c:barChart>
        <c:barDir val="bar"/>
        <c:grouping val="clustered"/>
        <c:varyColors val="0"/>
        <c:ser>
          <c:idx val="0"/>
          <c:order val="0"/>
          <c:spPr>
            <a:solidFill>
              <a:srgbClr val="969696"/>
            </a:solidFill>
            <a:ln w="25400">
              <a:noFill/>
            </a:ln>
          </c:spPr>
          <c:invertIfNegative val="0"/>
          <c:dLbls>
            <c:dLbl>
              <c:idx val="0"/>
              <c:tx>
                <c:strRef>
                  <c:f>Daten_Diagramme!$D$6</c:f>
                  <c:strCache>
                    <c:ptCount val="1"/>
                    <c:pt idx="0">
                      <c:v>-0.8</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{8A33C4F7-43B8-4E7B-A5DE-24DA92A47BE8}</c15:txfldGUID>
                      <c15:f>Daten_Diagramme!$D$6</c15:f>
                      <c15:dlblFieldTableCache>
                        <c:ptCount val="1"/>
                        <c:pt idx="0">
                          <c:v>-0.8</c:v>
                        </c:pt>
                      </c15:dlblFieldTableCache>
                    </c15:dlblFTEntry>
                  </c15:dlblFieldTable>
                  <c15:showDataLabelsRange val="0"/>
                </c:ext>
                <c:ext xmlns:c16="http://schemas.microsoft.com/office/drawing/2014/chart" uri="{C3380CC4-5D6E-409C-BE32-E72D297353CC}">
                  <c16:uniqueId val="{00000000-B2F4-4EDA-856D-85C6BCC3AC94}"/>
                </c:ext>
              </c:extLst>
            </c:dLbl>
            <c:dLbl>
              <c:idx val="1"/>
              <c:tx>
                <c:strRef>
                  <c:f>Daten_Diagramme!$D$7</c:f>
                  <c:strCache>
                    <c:ptCount val="1"/>
                    <c:pt idx="0">
                      <c:v>-0.8</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{3636BC6F-E424-48CA-8E46-4BBE6D594111}</c15:txfldGUID>
                      <c15:f>Daten_Diagramme!$D$7</c15:f>
                      <c15:dlblFieldTableCache>
                        <c:ptCount val="1"/>
                        <c:pt idx="0">
                          <c:v>-0.8</c:v>
                        </c:pt>
                      </c15:dlblFieldTableCache>
                    </c15:dlblFTEntry>
                  </c15:dlblFieldTable>
                  <c15:showDataLabelsRange val="0"/>
                </c:ext>
                <c:ext xmlns:c16="http://schemas.microsoft.com/office/drawing/2014/chart" uri="{C3380CC4-5D6E-409C-BE32-E72D297353CC}">
                  <c16:uniqueId val="{00000001-B2F4-4EDA-856D-85C6BCC3AC94}"/>
                </c:ext>
              </c:extLst>
            </c:dLbl>
            <c:dLbl>
              <c:idx val="2"/>
              <c:tx>
                <c:strRef>
                  <c:f>Daten_Diagramme!$D$8</c:f>
                  <c:strCache>
                    <c:ptCount val="1"/>
                    <c:pt idx="0">
                      <c:v>-0.4</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{01D3C075-D499-4DC3-8672-75D7585D5264}</c15:txfldGUID>
                      <c15:f>Daten_Diagramme!$D$8</c15:f>
                      <c15:dlblFieldTableCache>
                        <c:ptCount val="1"/>
                        <c:pt idx="0">
                          <c:v>-0.4</c:v>
                        </c:pt>
                      </c15:dlblFieldTableCache>
                    </c15:dlblFTEntry>
                  </c15:dlblFieldTable>
                  <c15:showDataLabelsRange val="0"/>
                </c:ext>
                <c:ext xmlns:c16="http://schemas.microsoft.com/office/drawing/2014/chart" uri="{C3380CC4-5D6E-409C-BE32-E72D297353CC}">
                  <c16:uniqueId val="{00000002-B2F4-4EDA-856D-85C6BCC3AC94}"/>
                </c:ext>
              </c:extLst>
            </c:dLbl>
            <c:dLbl>
              <c:idx val="3"/>
              <c:tx>
                <c:strRef>
                  <c:f>Daten_Diagramme!$D$9</c:f>
                  <c:strCache>
                    <c:ptCount val="1"/>
                    <c:pt idx="0">
                      <c:v>0.1</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{9595BB5F-30C3-4656-A387-413694A36CC1}</c15:txfldGUID>
                      <c15:f>Daten_Diagramme!$D$9</c15:f>
                      <c15:dlblFieldTableCache>
                        <c:ptCount val="1"/>
                        <c:pt idx="0">
                          <c:v>0.1</c:v>
                        </c:pt>
                      </c15:dlblFieldTableCache>
                    </c15:dlblFTEntry>
                  </c15:dlblFieldTable>
                  <c15:showDataLabelsRange val="0"/>
                </c:ext>
                <c:ext xmlns:c16="http://schemas.microsoft.com/office/drawing/2014/chart" uri="{C3380CC4-5D6E-409C-BE32-E72D297353CC}">
                  <c16:uniqueId val="{00000003-B2F4-4EDA-856D-85C6BCC3AC94}"/>
                </c:ext>
              </c:extLst>
            </c:dLbl>
            <c:numFmt formatCode="#,##0.0" sourceLinked="0"/>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Daten_Diagramme!$B$6:$B$9</c:f>
              <c:numCache>
                <c:formatCode>0.0</c:formatCode>
                <c:ptCount val="4"/>
                <c:pt idx="0">
                  <c:v>-0.8213901319888971</c:v>
                </c:pt>
                <c:pt idx="1">
                  <c:v>-0.75945085579408678</c:v>
                </c:pt>
                <c:pt idx="2">
                  <c:v>-0.44334140774204267</c:v>
                </c:pt>
                <c:pt idx="3">
                  <c:v>0.13889215009905245</c:v>
                </c:pt>
              </c:numCache>
            </c:numRef>
          </c:val>
          <c:extLst>
            <c:ext xmlns:c16="http://schemas.microsoft.com/office/drawing/2014/chart" uri="{C3380CC4-5D6E-409C-BE32-E72D297353CC}">
              <c16:uniqueId val="{00000004-B2F4-4EDA-856D-85C6BCC3AC94}"/>
            </c:ext>
          </c:extLst>
        </c:ser>
        <c:ser>
          <c:idx val="1"/>
          <c:order val="1"/>
          <c:spPr>
            <a:noFill/>
            <a:ln w="25400">
              <a:noFill/>
            </a:ln>
          </c:spPr>
          <c:invertIfNegative val="0"/>
          <c:dLbls>
            <c:dLbl>
              <c:idx val="0"/>
              <c:tx>
                <c:strRef>
                  <c:f>Daten_Diagramme!$F$6</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{3BB01447-7D72-485E-AE3D-83F3FDEC3289}</c15:txfldGUID>
                      <c15:f>Daten_Diagramme!$F$6</c15:f>
                      <c15:dlblFieldTableCache>
                        <c:ptCount val="1"/>
                      </c15:dlblFieldTableCache>
                    </c15:dlblFTEntry>
                  </c15:dlblFieldTable>
                  <c15:showDataLabelsRange val="0"/>
                </c:ext>
                <c:ext xmlns:c16="http://schemas.microsoft.com/office/drawing/2014/chart" uri="{C3380CC4-5D6E-409C-BE32-E72D297353CC}">
                  <c16:uniqueId val="{00000005-B2F4-4EDA-856D-85C6BCC3AC94}"/>
                </c:ext>
              </c:extLst>
            </c:dLbl>
            <c:dLbl>
              <c:idx val="1"/>
              <c:tx>
                <c:strRef>
                  <c:f>Daten_Diagramme!$F$7</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{23F4226D-E25B-4435-B0CB-16DC57EE6ADD}</c15:txfldGUID>
                      <c15:f>Daten_Diagramme!$F$7</c15:f>
                      <c15:dlblFieldTableCache>
                        <c:ptCount val="1"/>
                      </c15:dlblFieldTableCache>
                    </c15:dlblFTEntry>
                  </c15:dlblFieldTable>
                  <c15:showDataLabelsRange val="0"/>
                </c:ext>
                <c:ext xmlns:c16="http://schemas.microsoft.com/office/drawing/2014/chart" uri="{C3380CC4-5D6E-409C-BE32-E72D297353CC}">
                  <c16:uniqueId val="{00000006-B2F4-4EDA-856D-85C6BCC3AC94}"/>
                </c:ext>
              </c:extLst>
            </c:dLbl>
            <c:dLbl>
              <c:idx val="2"/>
              <c:tx>
                <c:strRef>
                  <c:f>Daten_Diagramme!$F$8</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{37C1C1F1-BE2B-4246-A3B7-C8BF345EDAF5}</c15:txfldGUID>
                      <c15:f>Daten_Diagramme!$F$8</c15:f>
                      <c15:dlblFieldTableCache>
                        <c:ptCount val="1"/>
                      </c15:dlblFieldTableCache>
                    </c15:dlblFTEntry>
                  </c15:dlblFieldTable>
                  <c15:showDataLabelsRange val="0"/>
                </c:ext>
                <c:ext xmlns:c16="http://schemas.microsoft.com/office/drawing/2014/chart" uri="{C3380CC4-5D6E-409C-BE32-E72D297353CC}">
                  <c16:uniqueId val="{00000007-B2F4-4EDA-856D-85C6BCC3AC94}"/>
                </c:ext>
              </c:extLst>
            </c:dLbl>
            <c:dLbl>
              <c:idx val="3"/>
              <c:tx>
                <c:strRef>
                  <c:f>Daten_Diagramme!$F$9</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{9ECD8F20-E153-4197-BE76-17D445F33559}</c15:txfldGUID>
                      <c15:f>Daten_Diagramme!$F$9</c15:f>
                      <c15:dlblFieldTableCache>
                        <c:ptCount val="1"/>
                      </c15:dlblFieldTableCache>
                    </c15:dlblFTEntry>
                  </c15:dlblFieldTable>
                  <c15:showDataLabelsRange val="0"/>
                </c:ext>
                <c:ext xmlns:c16="http://schemas.microsoft.com/office/drawing/2014/chart" uri="{C3380CC4-5D6E-409C-BE32-E72D297353CC}">
                  <c16:uniqueId val="{00000008-B2F4-4EDA-856D-85C6BCC3AC94}"/>
                </c:ext>
              </c:extLst>
            </c:dLbl>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Daten_Diagramme!$H$6:$H$9</c:f>
              <c:numCache>
                <c:formatCode>0.0</c:formatCode>
                <c:ptCount val="4"/>
                <c:pt idx="0">
                  <c:v>0</c:v>
                </c:pt>
                <c:pt idx="1">
                  <c:v>0</c:v>
                </c:pt>
                <c:pt idx="2">
                  <c:v>0</c:v>
                </c:pt>
                <c:pt idx="3">
                  <c:v>0</c:v>
                </c:pt>
              </c:numCache>
            </c:numRef>
          </c:val>
          <c:extLst>
            <c:ext xmlns:c16="http://schemas.microsoft.com/office/drawing/2014/chart" uri="{C3380CC4-5D6E-409C-BE32-E72D297353CC}">
              <c16:uniqueId val="{00000009-B2F4-4EDA-856D-85C6BCC3AC94}"/>
            </c:ext>
          </c:extLst>
        </c:ser>
        <c:dLbls>
          <c:showLegendKey val="0"/>
          <c:showVal val="1"/>
          <c:showCatName val="0"/>
          <c:showSerName val="0"/>
          <c:showPercent val="0"/>
          <c:showBubbleSize val="0"/>
        </c:dLbls>
        <c:gapWidth val="100"/>
        <c:overlap val="100"/>
        <c:axId val="296103672"/>
        <c:axId val="296104064"/>
      </c:barChart>
      <c:scatterChart>
        <c:scatterStyle val="lineMarker"/>
        <c:varyColors val="0"/>
        <c:ser>
          <c:idx val="2"/>
          <c:order val="2"/>
          <c:spPr>
            <a:ln w="28575">
              <a:noFill/>
            </a:ln>
          </c:spPr>
          <c:marker>
            <c:symbol val="picture"/>
            <c:spPr>
              <a:blipFill dpi="0" rotWithShape="0">
                <a:blip xmlns:r="http://schemas.openxmlformats.org/officeDocument/2006/relationships" r:embed="rId1"/>
                <a:srcRect/>
                <a:stretch>
                  <a:fillRect/>
                </a:stretch>
              </a:blipFill>
              <a:ln w="25400">
                <a:noFill/>
              </a:ln>
            </c:spPr>
          </c:marker>
          <c:dLbls>
            <c:delete val="1"/>
          </c:dLbls>
          <c:xVal>
            <c:numRef>
              <c:f>Daten_Diagramme!$K$6:$K$9</c:f>
              <c:numCache>
                <c:formatCode>General</c:formatCode>
                <c:ptCount val="4"/>
                <c:pt idx="0">
                  <c:v>#N/A</c:v>
                </c:pt>
                <c:pt idx="1">
                  <c:v>#N/A</c:v>
                </c:pt>
                <c:pt idx="2">
                  <c:v>#N/A</c:v>
                </c:pt>
                <c:pt idx="3">
                  <c:v>#N/A</c:v>
                </c:pt>
              </c:numCache>
            </c:numRef>
          </c:xVal>
          <c:yVal>
            <c:numRef>
              <c:f>Daten_Diagramme!$J$6:$J$9</c:f>
              <c:numCache>
                <c:formatCode>General</c:formatCode>
                <c:ptCount val="4"/>
                <c:pt idx="0">
                  <c:v>#N/A</c:v>
                </c:pt>
                <c:pt idx="1">
                  <c:v>#N/A</c:v>
                </c:pt>
                <c:pt idx="2">
                  <c:v>#N/A</c:v>
                </c:pt>
                <c:pt idx="3">
                  <c:v>#N/A</c:v>
                </c:pt>
              </c:numCache>
            </c:numRef>
          </c:yVal>
          <c:smooth val="0"/>
          <c:extLst>
            <c:ext xmlns:c16="http://schemas.microsoft.com/office/drawing/2014/chart" uri="{C3380CC4-5D6E-409C-BE32-E72D297353CC}">
              <c16:uniqueId val="{0000000A-B2F4-4EDA-856D-85C6BCC3AC94}"/>
            </c:ext>
          </c:extLst>
        </c:ser>
        <c:dLbls>
          <c:showLegendKey val="0"/>
          <c:showVal val="1"/>
          <c:showCatName val="0"/>
          <c:showSerName val="0"/>
          <c:showPercent val="0"/>
          <c:showBubbleSize val="0"/>
        </c:dLbls>
        <c:axId val="296104456"/>
        <c:axId val="296104848"/>
      </c:scatterChart>
      <c:catAx>
        <c:axId val="296103672"/>
        <c:scaling>
          <c:orientation val="maxMin"/>
        </c:scaling>
        <c:delete val="0"/>
        <c:axPos val="l"/>
        <c:majorTickMark val="none"/>
        <c:minorTickMark val="none"/>
        <c:tickLblPos val="none"/>
        <c:spPr>
          <a:noFill/>
          <a:ln w="1270">
            <a:solidFill>
              <a:srgbClr val="000000"/>
            </a:solidFill>
            <a:prstDash val="solid"/>
          </a:ln>
        </c:spPr>
        <c:crossAx val="296104064"/>
        <c:crosses val="autoZero"/>
        <c:auto val="1"/>
        <c:lblAlgn val="ctr"/>
        <c:lblOffset val="100"/>
        <c:tickMarkSkip val="1"/>
        <c:noMultiLvlLbl val="0"/>
      </c:catAx>
      <c:valAx>
        <c:axId val="296104064"/>
        <c:scaling>
          <c:orientation val="minMax"/>
          <c:max val="50"/>
          <c:min val="-50"/>
        </c:scaling>
        <c:delete val="1"/>
        <c:axPos val="t"/>
        <c:numFmt formatCode="0.0" sourceLinked="1"/>
        <c:majorTickMark val="out"/>
        <c:minorTickMark val="none"/>
        <c:tickLblPos val="none"/>
        <c:crossAx val="296103672"/>
        <c:crosses val="autoZero"/>
        <c:crossBetween val="between"/>
        <c:majorUnit val="10"/>
        <c:minorUnit val="5"/>
      </c:valAx>
      <c:valAx>
        <c:axId val="296104456"/>
        <c:scaling>
          <c:orientation val="minMax"/>
        </c:scaling>
        <c:delete val="1"/>
        <c:axPos val="t"/>
        <c:numFmt formatCode="General" sourceLinked="1"/>
        <c:majorTickMark val="out"/>
        <c:minorTickMark val="none"/>
        <c:tickLblPos val="none"/>
        <c:crossAx val="296104848"/>
        <c:crossesAt val="40"/>
        <c:crossBetween val="midCat"/>
      </c:valAx>
      <c:valAx>
        <c:axId val="296104848"/>
        <c:scaling>
          <c:orientation val="maxMin"/>
          <c:max val="40"/>
          <c:min val="0"/>
        </c:scaling>
        <c:delete val="1"/>
        <c:axPos val="r"/>
        <c:numFmt formatCode="General" sourceLinked="1"/>
        <c:majorTickMark val="out"/>
        <c:minorTickMark val="none"/>
        <c:tickLblPos val="none"/>
        <c:crossAx val="296104456"/>
        <c:crosses val="max"/>
        <c:crossBetween val="midCat"/>
        <c:majorUnit val="10"/>
        <c:minorUnit val="5"/>
      </c:valAx>
      <c:spPr>
        <a:noFill/>
        <a:ln>
          <a:noFill/>
        </a:ln>
      </c:spPr>
    </c:plotArea>
    <c:plotVisOnly val="1"/>
    <c:dispBlanksAs val="gap"/>
    <c:showDLblsOverMax val="0"/>
  </c:chart>
  <c:spPr>
    <a:noFill/>
    <a:ln w="9525">
      <a:noFill/>
    </a:ln>
  </c:spPr>
  <c:txPr>
    <a:bodyPr/>
    <a:lstStyle/>
    <a:p>
      <a:pPr>
        <a:defRPr sz="350" b="0" i="0" u="none" strike="noStrike" baseline="0">
          <a:solidFill>
            <a:srgbClr val="000000"/>
          </a:solidFill>
          <a:latin typeface="Arial"/>
          <a:ea typeface="Arial"/>
          <a:cs typeface="Arial"/>
        </a:defRPr>
      </a:pPr>
      <a:endParaRPr lang="de-DE"/>
    </a:p>
  </c:txPr>
  <c:printSettings>
    <c:headerFooter alignWithMargins="0"/>
    <c:pageMargins b="0.98425196899999956" l="0.78740157499999996" r="0.78740157499999996" t="0.98425196899999956" header="0.49212598450000788" footer="0.49212598450000788"/>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770700636942734E-2"/>
          <c:y val="3.4013831405661492E-2"/>
          <c:w val="0.90764331210191085"/>
          <c:h val="0.93878174679625559"/>
        </c:manualLayout>
      </c:layout>
      <c:barChart>
        <c:barDir val="bar"/>
        <c:grouping val="clustered"/>
        <c:varyColors val="0"/>
        <c:ser>
          <c:idx val="0"/>
          <c:order val="0"/>
          <c:spPr>
            <a:solidFill>
              <a:srgbClr val="969696"/>
            </a:solidFill>
            <a:ln w="25400">
              <a:noFill/>
            </a:ln>
          </c:spPr>
          <c:invertIfNegative val="0"/>
          <c:dLbls>
            <c:dLbl>
              <c:idx val="0"/>
              <c:tx>
                <c:strRef>
                  <c:f>Daten_Diagramme!$E$6</c:f>
                  <c:strCache>
                    <c:ptCount val="1"/>
                    <c:pt idx="0">
                      <c:v>2.5</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{C209E943-8C5F-44E5-A353-63D87877BBDE}</c15:txfldGUID>
                      <c15:f>Daten_Diagramme!$E$6</c15:f>
                      <c15:dlblFieldTableCache>
                        <c:ptCount val="1"/>
                        <c:pt idx="0">
                          <c:v>2.5</c:v>
                        </c:pt>
                      </c15:dlblFieldTableCache>
                    </c15:dlblFTEntry>
                  </c15:dlblFieldTable>
                  <c15:showDataLabelsRange val="0"/>
                </c:ext>
                <c:ext xmlns:c16="http://schemas.microsoft.com/office/drawing/2014/chart" uri="{C3380CC4-5D6E-409C-BE32-E72D297353CC}">
                  <c16:uniqueId val="{00000000-5D86-4975-A8D2-7D285DF794C9}"/>
                </c:ext>
              </c:extLst>
            </c:dLbl>
            <c:dLbl>
              <c:idx val="1"/>
              <c:tx>
                <c:strRef>
                  <c:f>Daten_Diagramme!$E$7</c:f>
                  <c:strCache>
                    <c:ptCount val="1"/>
                    <c:pt idx="0">
                      <c:v>0.9</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{6509B5A8-9A9A-4D9F-B3F3-527B404C2C32}</c15:txfldGUID>
                      <c15:f>Daten_Diagramme!$E$7</c15:f>
                      <c15:dlblFieldTableCache>
                        <c:ptCount val="1"/>
                        <c:pt idx="0">
                          <c:v>0.9</c:v>
                        </c:pt>
                      </c15:dlblFieldTableCache>
                    </c15:dlblFTEntry>
                  </c15:dlblFieldTable>
                  <c15:showDataLabelsRange val="0"/>
                </c:ext>
                <c:ext xmlns:c16="http://schemas.microsoft.com/office/drawing/2014/chart" uri="{C3380CC4-5D6E-409C-BE32-E72D297353CC}">
                  <c16:uniqueId val="{00000001-5D86-4975-A8D2-7D285DF794C9}"/>
                </c:ext>
              </c:extLst>
            </c:dLbl>
            <c:dLbl>
              <c:idx val="2"/>
              <c:tx>
                <c:strRef>
                  <c:f>Daten_Diagramme!$E$8</c:f>
                  <c:strCache>
                    <c:ptCount val="1"/>
                    <c:pt idx="0">
                      <c:v>1.1</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{7C31FD00-12B7-4805-82B5-4485010F21BA}</c15:txfldGUID>
                      <c15:f>Daten_Diagramme!$E$8</c15:f>
                      <c15:dlblFieldTableCache>
                        <c:ptCount val="1"/>
                        <c:pt idx="0">
                          <c:v>1.1</c:v>
                        </c:pt>
                      </c15:dlblFieldTableCache>
                    </c15:dlblFTEntry>
                  </c15:dlblFieldTable>
                  <c15:showDataLabelsRange val="0"/>
                </c:ext>
                <c:ext xmlns:c16="http://schemas.microsoft.com/office/drawing/2014/chart" uri="{C3380CC4-5D6E-409C-BE32-E72D297353CC}">
                  <c16:uniqueId val="{00000002-5D86-4975-A8D2-7D285DF794C9}"/>
                </c:ext>
              </c:extLst>
            </c:dLbl>
            <c:dLbl>
              <c:idx val="3"/>
              <c:tx>
                <c:strRef>
                  <c:f>Daten_Diagramme!$E$9</c:f>
                  <c:strCache>
                    <c:ptCount val="1"/>
                    <c:pt idx="0">
                      <c:v>-0.1</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{2A4F6DDF-790C-48FB-AEE2-DDD9A7B190F6}</c15:txfldGUID>
                      <c15:f>Daten_Diagramme!$E$9</c15:f>
                      <c15:dlblFieldTableCache>
                        <c:ptCount val="1"/>
                        <c:pt idx="0">
                          <c:v>-0.1</c:v>
                        </c:pt>
                      </c15:dlblFieldTableCache>
                    </c15:dlblFTEntry>
                  </c15:dlblFieldTable>
                  <c15:showDataLabelsRange val="0"/>
                </c:ext>
                <c:ext xmlns:c16="http://schemas.microsoft.com/office/drawing/2014/chart" uri="{C3380CC4-5D6E-409C-BE32-E72D297353CC}">
                  <c16:uniqueId val="{00000003-5D86-4975-A8D2-7D285DF794C9}"/>
                </c:ext>
              </c:extLst>
            </c:dLbl>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Daten_Diagramme!$C$6:$C$9</c:f>
              <c:numCache>
                <c:formatCode>0.0</c:formatCode>
                <c:ptCount val="4"/>
                <c:pt idx="0">
                  <c:v>2.4929527836504581</c:v>
                </c:pt>
                <c:pt idx="1">
                  <c:v>0.87219589666571717</c:v>
                </c:pt>
                <c:pt idx="2">
                  <c:v>1.0909094917724302</c:v>
                </c:pt>
                <c:pt idx="3">
                  <c:v>-0.13951042111218662</c:v>
                </c:pt>
              </c:numCache>
            </c:numRef>
          </c:val>
          <c:extLst>
            <c:ext xmlns:c16="http://schemas.microsoft.com/office/drawing/2014/chart" uri="{C3380CC4-5D6E-409C-BE32-E72D297353CC}">
              <c16:uniqueId val="{00000004-5D86-4975-A8D2-7D285DF794C9}"/>
            </c:ext>
          </c:extLst>
        </c:ser>
        <c:ser>
          <c:idx val="1"/>
          <c:order val="1"/>
          <c:spPr>
            <a:noFill/>
            <a:ln w="25400">
              <a:noFill/>
            </a:ln>
          </c:spPr>
          <c:invertIfNegative val="0"/>
          <c:dLbls>
            <c:dLbl>
              <c:idx val="0"/>
              <c:tx>
                <c:strRef>
                  <c:f>Daten_Diagramme!$G$6</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{4173049B-92AD-44D6-B400-79AAE67EE4EB}</c15:txfldGUID>
                      <c15:f>Daten_Diagramme!$G$6</c15:f>
                      <c15:dlblFieldTableCache>
                        <c:ptCount val="1"/>
                      </c15:dlblFieldTableCache>
                    </c15:dlblFTEntry>
                  </c15:dlblFieldTable>
                  <c15:showDataLabelsRange val="0"/>
                </c:ext>
                <c:ext xmlns:c16="http://schemas.microsoft.com/office/drawing/2014/chart" uri="{C3380CC4-5D6E-409C-BE32-E72D297353CC}">
                  <c16:uniqueId val="{00000005-5D86-4975-A8D2-7D285DF794C9}"/>
                </c:ext>
              </c:extLst>
            </c:dLbl>
            <c:dLbl>
              <c:idx val="1"/>
              <c:tx>
                <c:strRef>
                  <c:f>Daten_Diagramme!$G$7</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{29924089-6462-4501-8609-B719D432615B}</c15:txfldGUID>
                      <c15:f>Daten_Diagramme!$G$7</c15:f>
                      <c15:dlblFieldTableCache>
                        <c:ptCount val="1"/>
                      </c15:dlblFieldTableCache>
                    </c15:dlblFTEntry>
                  </c15:dlblFieldTable>
                  <c15:showDataLabelsRange val="0"/>
                </c:ext>
                <c:ext xmlns:c16="http://schemas.microsoft.com/office/drawing/2014/chart" uri="{C3380CC4-5D6E-409C-BE32-E72D297353CC}">
                  <c16:uniqueId val="{00000006-5D86-4975-A8D2-7D285DF794C9}"/>
                </c:ext>
              </c:extLst>
            </c:dLbl>
            <c:dLbl>
              <c:idx val="2"/>
              <c:tx>
                <c:strRef>
                  <c:f>Daten_Diagramme!$G$8</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{E42BA9A3-A7FB-4C13-BF87-ED3C14EDF53C}</c15:txfldGUID>
                      <c15:f>Daten_Diagramme!$G$8</c15:f>
                      <c15:dlblFieldTableCache>
                        <c:ptCount val="1"/>
                      </c15:dlblFieldTableCache>
                    </c15:dlblFTEntry>
                  </c15:dlblFieldTable>
                  <c15:showDataLabelsRange val="0"/>
                </c:ext>
                <c:ext xmlns:c16="http://schemas.microsoft.com/office/drawing/2014/chart" uri="{C3380CC4-5D6E-409C-BE32-E72D297353CC}">
                  <c16:uniqueId val="{00000007-5D86-4975-A8D2-7D285DF794C9}"/>
                </c:ext>
              </c:extLst>
            </c:dLbl>
            <c:dLbl>
              <c:idx val="3"/>
              <c:tx>
                <c:strRef>
                  <c:f>Daten_Diagramme!$G$9</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{73AE9386-7FDE-43FE-A3A4-E332F032234B}</c15:txfldGUID>
                      <c15:f>Daten_Diagramme!$G$9</c15:f>
                      <c15:dlblFieldTableCache>
                        <c:ptCount val="1"/>
                      </c15:dlblFieldTableCache>
                    </c15:dlblFTEntry>
                  </c15:dlblFieldTable>
                  <c15:showDataLabelsRange val="0"/>
                </c:ext>
                <c:ext xmlns:c16="http://schemas.microsoft.com/office/drawing/2014/chart" uri="{C3380CC4-5D6E-409C-BE32-E72D297353CC}">
                  <c16:uniqueId val="{00000008-5D86-4975-A8D2-7D285DF794C9}"/>
                </c:ext>
              </c:extLst>
            </c:dLbl>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Daten_Diagramme!$I$6:$I$9</c:f>
              <c:numCache>
                <c:formatCode>0.0</c:formatCode>
                <c:ptCount val="4"/>
                <c:pt idx="0">
                  <c:v>0</c:v>
                </c:pt>
                <c:pt idx="1">
                  <c:v>0</c:v>
                </c:pt>
                <c:pt idx="2">
                  <c:v>0</c:v>
                </c:pt>
                <c:pt idx="3">
                  <c:v>0</c:v>
                </c:pt>
              </c:numCache>
            </c:numRef>
          </c:val>
          <c:extLst>
            <c:ext xmlns:c16="http://schemas.microsoft.com/office/drawing/2014/chart" uri="{C3380CC4-5D6E-409C-BE32-E72D297353CC}">
              <c16:uniqueId val="{00000009-5D86-4975-A8D2-7D285DF794C9}"/>
            </c:ext>
          </c:extLst>
        </c:ser>
        <c:dLbls>
          <c:showLegendKey val="0"/>
          <c:showVal val="1"/>
          <c:showCatName val="0"/>
          <c:showSerName val="0"/>
          <c:showPercent val="0"/>
          <c:showBubbleSize val="0"/>
        </c:dLbls>
        <c:gapWidth val="100"/>
        <c:overlap val="100"/>
        <c:axId val="296107200"/>
        <c:axId val="297289736"/>
      </c:barChart>
      <c:scatterChart>
        <c:scatterStyle val="lineMarker"/>
        <c:varyColors val="0"/>
        <c:ser>
          <c:idx val="2"/>
          <c:order val="2"/>
          <c:spPr>
            <a:ln w="28575">
              <a:noFill/>
            </a:ln>
          </c:spPr>
          <c:marker>
            <c:symbol val="picture"/>
            <c:spPr>
              <a:blipFill dpi="0" rotWithShape="0">
                <a:blip xmlns:r="http://schemas.openxmlformats.org/officeDocument/2006/relationships" r:embed="rId1"/>
                <a:srcRect/>
                <a:stretch>
                  <a:fillRect/>
                </a:stretch>
              </a:blipFill>
              <a:ln w="25400">
                <a:noFill/>
              </a:ln>
            </c:spPr>
          </c:marker>
          <c:dLbls>
            <c:delete val="1"/>
          </c:dLbls>
          <c:xVal>
            <c:numRef>
              <c:f>Daten_Diagramme!$M$6:$M$9</c:f>
              <c:numCache>
                <c:formatCode>General</c:formatCode>
                <c:ptCount val="4"/>
                <c:pt idx="0">
                  <c:v>#N/A</c:v>
                </c:pt>
                <c:pt idx="1">
                  <c:v>#N/A</c:v>
                </c:pt>
                <c:pt idx="2">
                  <c:v>#N/A</c:v>
                </c:pt>
                <c:pt idx="3">
                  <c:v>#N/A</c:v>
                </c:pt>
              </c:numCache>
            </c:numRef>
          </c:xVal>
          <c:yVal>
            <c:numRef>
              <c:f>Daten_Diagramme!$L$6:$L$9</c:f>
              <c:numCache>
                <c:formatCode>General</c:formatCode>
                <c:ptCount val="4"/>
                <c:pt idx="0">
                  <c:v>#N/A</c:v>
                </c:pt>
                <c:pt idx="1">
                  <c:v>#N/A</c:v>
                </c:pt>
                <c:pt idx="2">
                  <c:v>#N/A</c:v>
                </c:pt>
                <c:pt idx="3">
                  <c:v>#N/A</c:v>
                </c:pt>
              </c:numCache>
            </c:numRef>
          </c:yVal>
          <c:smooth val="0"/>
          <c:extLst>
            <c:ext xmlns:c16="http://schemas.microsoft.com/office/drawing/2014/chart" uri="{C3380CC4-5D6E-409C-BE32-E72D297353CC}">
              <c16:uniqueId val="{0000000A-5D86-4975-A8D2-7D285DF794C9}"/>
            </c:ext>
          </c:extLst>
        </c:ser>
        <c:dLbls>
          <c:showLegendKey val="0"/>
          <c:showVal val="1"/>
          <c:showCatName val="0"/>
          <c:showSerName val="0"/>
          <c:showPercent val="0"/>
          <c:showBubbleSize val="0"/>
        </c:dLbls>
        <c:axId val="297290128"/>
        <c:axId val="297290520"/>
      </c:scatterChart>
      <c:catAx>
        <c:axId val="296107200"/>
        <c:scaling>
          <c:orientation val="maxMin"/>
        </c:scaling>
        <c:delete val="0"/>
        <c:axPos val="l"/>
        <c:majorTickMark val="none"/>
        <c:minorTickMark val="none"/>
        <c:tickLblPos val="none"/>
        <c:spPr>
          <a:ln w="1270">
            <a:solidFill>
              <a:srgbClr val="000000"/>
            </a:solidFill>
            <a:prstDash val="solid"/>
          </a:ln>
        </c:spPr>
        <c:crossAx val="297289736"/>
        <c:crosses val="autoZero"/>
        <c:auto val="1"/>
        <c:lblAlgn val="ctr"/>
        <c:lblOffset val="100"/>
        <c:tickMarkSkip val="1"/>
        <c:noMultiLvlLbl val="0"/>
      </c:catAx>
      <c:valAx>
        <c:axId val="297289736"/>
        <c:scaling>
          <c:orientation val="minMax"/>
          <c:max val="50"/>
          <c:min val="-50"/>
        </c:scaling>
        <c:delete val="1"/>
        <c:axPos val="t"/>
        <c:numFmt formatCode="0.0" sourceLinked="1"/>
        <c:majorTickMark val="out"/>
        <c:minorTickMark val="none"/>
        <c:tickLblPos val="none"/>
        <c:crossAx val="296107200"/>
        <c:crosses val="autoZero"/>
        <c:crossBetween val="between"/>
        <c:majorUnit val="10"/>
        <c:minorUnit val="5"/>
      </c:valAx>
      <c:valAx>
        <c:axId val="297290128"/>
        <c:scaling>
          <c:orientation val="minMax"/>
        </c:scaling>
        <c:delete val="1"/>
        <c:axPos val="b"/>
        <c:numFmt formatCode="General" sourceLinked="1"/>
        <c:majorTickMark val="out"/>
        <c:minorTickMark val="none"/>
        <c:tickLblPos val="none"/>
        <c:crossAx val="297290520"/>
        <c:crosses val="max"/>
        <c:crossBetween val="midCat"/>
      </c:valAx>
      <c:valAx>
        <c:axId val="297290520"/>
        <c:scaling>
          <c:orientation val="maxMin"/>
          <c:max val="40"/>
          <c:min val="0"/>
        </c:scaling>
        <c:delete val="1"/>
        <c:axPos val="r"/>
        <c:numFmt formatCode="General" sourceLinked="1"/>
        <c:majorTickMark val="out"/>
        <c:minorTickMark val="none"/>
        <c:tickLblPos val="none"/>
        <c:crossAx val="297290128"/>
        <c:crosses val="max"/>
        <c:crossBetween val="midCat"/>
        <c:majorUnit val="10"/>
        <c:minorUnit val="5"/>
      </c:valAx>
      <c:spPr>
        <a:noFill/>
        <a:ln w="25400">
          <a:noFill/>
        </a:ln>
      </c:spPr>
    </c:plotArea>
    <c:plotVisOnly val="1"/>
    <c:dispBlanksAs val="gap"/>
    <c:showDLblsOverMax val="0"/>
  </c:chart>
  <c:spPr>
    <a:noFill/>
    <a:ln w="9525">
      <a:noFill/>
    </a:ln>
  </c:spPr>
  <c:txPr>
    <a:bodyPr/>
    <a:lstStyle/>
    <a:p>
      <a:pPr>
        <a:defRPr sz="325" b="0" i="0" u="none" strike="noStrike" baseline="0">
          <a:solidFill>
            <a:srgbClr val="000000"/>
          </a:solidFill>
          <a:latin typeface="Arial"/>
          <a:ea typeface="Arial"/>
          <a:cs typeface="Arial"/>
        </a:defRPr>
      </a:pPr>
      <a:endParaRPr lang="de-DE"/>
    </a:p>
  </c:txPr>
  <c:printSettings>
    <c:headerFooter alignWithMargins="0"/>
    <c:pageMargins b="0.98425196899999956" l="0.78740157499999996" r="0.78740157499999996" t="0.98425196899999956" header="0.49212598450000788" footer="0.49212598450000788"/>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4585987261146924E-2"/>
          <c:y val="1.4231505644191103E-2"/>
          <c:w val="0.9140127388535032"/>
          <c:h val="0.98576853674540688"/>
        </c:manualLayout>
      </c:layout>
      <c:barChart>
        <c:barDir val="bar"/>
        <c:grouping val="clustered"/>
        <c:varyColors val="0"/>
        <c:ser>
          <c:idx val="0"/>
          <c:order val="0"/>
          <c:spPr>
            <a:solidFill>
              <a:srgbClr val="969696"/>
            </a:solidFill>
            <a:ln w="25400">
              <a:noFill/>
            </a:ln>
          </c:spPr>
          <c:invertIfNegative val="0"/>
          <c:dLbls>
            <c:dLbl>
              <c:idx val="0"/>
              <c:tx>
                <c:strRef>
                  <c:f>Daten_Diagramme!$D$14</c:f>
                  <c:strCache>
                    <c:ptCount val="1"/>
                    <c:pt idx="0">
                      <c:v>-0.8</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{799CE258-40AF-4DE0-99FE-58ABF7C49AF5}</c15:txfldGUID>
                      <c15:f>Daten_Diagramme!$D$14</c15:f>
                      <c15:dlblFieldTableCache>
                        <c:ptCount val="1"/>
                        <c:pt idx="0">
                          <c:v>-0.8</c:v>
                        </c:pt>
                      </c15:dlblFieldTableCache>
                    </c15:dlblFTEntry>
                  </c15:dlblFieldTable>
                  <c15:showDataLabelsRange val="0"/>
                </c:ext>
                <c:ext xmlns:c16="http://schemas.microsoft.com/office/drawing/2014/chart" uri="{C3380CC4-5D6E-409C-BE32-E72D297353CC}">
                  <c16:uniqueId val="{00000000-F471-4DF3-9712-98E864CF01E5}"/>
                </c:ext>
              </c:extLst>
            </c:dLbl>
            <c:dLbl>
              <c:idx val="1"/>
              <c:tx>
                <c:strRef>
                  <c:f>Daten_Diagramme!$D$15</c:f>
                  <c:strCache>
                    <c:ptCount val="1"/>
                    <c:pt idx="0">
                      <c:v>-1.2</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{183E24B6-9463-4545-9BE4-E77F6906A550}</c15:txfldGUID>
                      <c15:f>Daten_Diagramme!$D$15</c15:f>
                      <c15:dlblFieldTableCache>
                        <c:ptCount val="1"/>
                        <c:pt idx="0">
                          <c:v>-1.2</c:v>
                        </c:pt>
                      </c15:dlblFieldTableCache>
                    </c15:dlblFTEntry>
                  </c15:dlblFieldTable>
                  <c15:showDataLabelsRange val="0"/>
                </c:ext>
                <c:ext xmlns:c16="http://schemas.microsoft.com/office/drawing/2014/chart" uri="{C3380CC4-5D6E-409C-BE32-E72D297353CC}">
                  <c16:uniqueId val="{00000001-F471-4DF3-9712-98E864CF01E5}"/>
                </c:ext>
              </c:extLst>
            </c:dLbl>
            <c:dLbl>
              <c:idx val="2"/>
              <c:tx>
                <c:strRef>
                  <c:f>Daten_Diagramme!$D$16</c:f>
                  <c:strCache>
                    <c:ptCount val="1"/>
                    <c:pt idx="0">
                      <c:v>-2.0</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{C549DB9B-5592-45FE-BB53-B94B02947C76}</c15:txfldGUID>
                      <c15:f>Daten_Diagramme!$D$16</c15:f>
                      <c15:dlblFieldTableCache>
                        <c:ptCount val="1"/>
                        <c:pt idx="0">
                          <c:v>-2.0</c:v>
                        </c:pt>
                      </c15:dlblFieldTableCache>
                    </c15:dlblFTEntry>
                  </c15:dlblFieldTable>
                  <c15:showDataLabelsRange val="0"/>
                </c:ext>
                <c:ext xmlns:c16="http://schemas.microsoft.com/office/drawing/2014/chart" uri="{C3380CC4-5D6E-409C-BE32-E72D297353CC}">
                  <c16:uniqueId val="{00000002-F471-4DF3-9712-98E864CF01E5}"/>
                </c:ext>
              </c:extLst>
            </c:dLbl>
            <c:dLbl>
              <c:idx val="3"/>
              <c:tx>
                <c:strRef>
                  <c:f>Daten_Diagramme!$D$17</c:f>
                  <c:strCache>
                    <c:ptCount val="1"/>
                    <c:pt idx="0">
                      <c:v>-0.4</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{10D92E0B-8941-4505-80ED-00D146A63161}</c15:txfldGUID>
                      <c15:f>Daten_Diagramme!$D$17</c15:f>
                      <c15:dlblFieldTableCache>
                        <c:ptCount val="1"/>
                        <c:pt idx="0">
                          <c:v>-0.4</c:v>
                        </c:pt>
                      </c15:dlblFieldTableCache>
                    </c15:dlblFTEntry>
                  </c15:dlblFieldTable>
                  <c15:showDataLabelsRange val="0"/>
                </c:ext>
                <c:ext xmlns:c16="http://schemas.microsoft.com/office/drawing/2014/chart" uri="{C3380CC4-5D6E-409C-BE32-E72D297353CC}">
                  <c16:uniqueId val="{00000003-F471-4DF3-9712-98E864CF01E5}"/>
                </c:ext>
              </c:extLst>
            </c:dLbl>
            <c:dLbl>
              <c:idx val="4"/>
              <c:tx>
                <c:strRef>
                  <c:f>Daten_Diagramme!$D$18</c:f>
                  <c:strCache>
                    <c:ptCount val="1"/>
                    <c:pt idx="0">
                      <c:v>1.2</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{C87DAFAB-B9B1-4F77-90F8-67A69E452A54}</c15:txfldGUID>
                      <c15:f>Daten_Diagramme!$D$18</c15:f>
                      <c15:dlblFieldTableCache>
                        <c:ptCount val="1"/>
                        <c:pt idx="0">
                          <c:v>1.2</c:v>
                        </c:pt>
                      </c15:dlblFieldTableCache>
                    </c15:dlblFTEntry>
                  </c15:dlblFieldTable>
                  <c15:showDataLabelsRange val="0"/>
                </c:ext>
                <c:ext xmlns:c16="http://schemas.microsoft.com/office/drawing/2014/chart" uri="{C3380CC4-5D6E-409C-BE32-E72D297353CC}">
                  <c16:uniqueId val="{00000004-F471-4DF3-9712-98E864CF01E5}"/>
                </c:ext>
              </c:extLst>
            </c:dLbl>
            <c:dLbl>
              <c:idx val="5"/>
              <c:tx>
                <c:strRef>
                  <c:f>Daten_Diagramme!$D$19</c:f>
                  <c:strCache>
                    <c:ptCount val="1"/>
                    <c:pt idx="0">
                      <c:v>-0.9</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{DEFE5D4B-7B27-454E-BF50-BE140F0103BF}</c15:txfldGUID>
                      <c15:f>Daten_Diagramme!$D$19</c15:f>
                      <c15:dlblFieldTableCache>
                        <c:ptCount val="1"/>
                        <c:pt idx="0">
                          <c:v>-0.9</c:v>
                        </c:pt>
                      </c15:dlblFieldTableCache>
                    </c15:dlblFTEntry>
                  </c15:dlblFieldTable>
                  <c15:showDataLabelsRange val="0"/>
                </c:ext>
                <c:ext xmlns:c16="http://schemas.microsoft.com/office/drawing/2014/chart" uri="{C3380CC4-5D6E-409C-BE32-E72D297353CC}">
                  <c16:uniqueId val="{00000005-F471-4DF3-9712-98E864CF01E5}"/>
                </c:ext>
              </c:extLst>
            </c:dLbl>
            <c:dLbl>
              <c:idx val="6"/>
              <c:tx>
                <c:strRef>
                  <c:f>Daten_Diagramme!$D$20</c:f>
                  <c:strCache>
                    <c:ptCount val="1"/>
                    <c:pt idx="0">
                      <c:v>-2.1</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{17FBC2D7-5D0E-4D46-95EF-966E8B2C2C2E}</c15:txfldGUID>
                      <c15:f>Daten_Diagramme!$D$20</c15:f>
                      <c15:dlblFieldTableCache>
                        <c:ptCount val="1"/>
                        <c:pt idx="0">
                          <c:v>-2.1</c:v>
                        </c:pt>
                      </c15:dlblFieldTableCache>
                    </c15:dlblFTEntry>
                  </c15:dlblFieldTable>
                  <c15:showDataLabelsRange val="0"/>
                </c:ext>
                <c:ext xmlns:c16="http://schemas.microsoft.com/office/drawing/2014/chart" uri="{C3380CC4-5D6E-409C-BE32-E72D297353CC}">
                  <c16:uniqueId val="{00000006-F471-4DF3-9712-98E864CF01E5}"/>
                </c:ext>
              </c:extLst>
            </c:dLbl>
            <c:dLbl>
              <c:idx val="7"/>
              <c:tx>
                <c:strRef>
                  <c:f>Daten_Diagramme!$D$21</c:f>
                  <c:strCache>
                    <c:ptCount val="1"/>
                    <c:pt idx="0">
                      <c:v>-2.6</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{C6238CEC-2328-4EA3-AB33-5245D1B11794}</c15:txfldGUID>
                      <c15:f>Daten_Diagramme!$D$21</c15:f>
                      <c15:dlblFieldTableCache>
                        <c:ptCount val="1"/>
                        <c:pt idx="0">
                          <c:v>-2.6</c:v>
                        </c:pt>
                      </c15:dlblFieldTableCache>
                    </c15:dlblFTEntry>
                  </c15:dlblFieldTable>
                  <c15:showDataLabelsRange val="0"/>
                </c:ext>
                <c:ext xmlns:c16="http://schemas.microsoft.com/office/drawing/2014/chart" uri="{C3380CC4-5D6E-409C-BE32-E72D297353CC}">
                  <c16:uniqueId val="{00000007-F471-4DF3-9712-98E864CF01E5}"/>
                </c:ext>
              </c:extLst>
            </c:dLbl>
            <c:dLbl>
              <c:idx val="8"/>
              <c:tx>
                <c:strRef>
                  <c:f>Daten_Diagramme!$D$22</c:f>
                  <c:strCache>
                    <c:ptCount val="1"/>
                    <c:pt idx="0">
                      <c:v>-2.9</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{77EA5068-1964-4AB0-98B3-0F74122D5057}</c15:txfldGUID>
                      <c15:f>Daten_Diagramme!$D$22</c15:f>
                      <c15:dlblFieldTableCache>
                        <c:ptCount val="1"/>
                        <c:pt idx="0">
                          <c:v>-2.9</c:v>
                        </c:pt>
                      </c15:dlblFieldTableCache>
                    </c15:dlblFTEntry>
                  </c15:dlblFieldTable>
                  <c15:showDataLabelsRange val="0"/>
                </c:ext>
                <c:ext xmlns:c16="http://schemas.microsoft.com/office/drawing/2014/chart" uri="{C3380CC4-5D6E-409C-BE32-E72D297353CC}">
                  <c16:uniqueId val="{00000008-F471-4DF3-9712-98E864CF01E5}"/>
                </c:ext>
              </c:extLst>
            </c:dLbl>
            <c:dLbl>
              <c:idx val="9"/>
              <c:tx>
                <c:strRef>
                  <c:f>Daten_Diagramme!$D$23</c:f>
                  <c:strCache>
                    <c:ptCount val="1"/>
                    <c:pt idx="0">
                      <c:v>-5.9</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{DA6271B6-9E16-49DC-8B6C-D964CAC87DBF}</c15:txfldGUID>
                      <c15:f>Daten_Diagramme!$D$23</c15:f>
                      <c15:dlblFieldTableCache>
                        <c:ptCount val="1"/>
                        <c:pt idx="0">
                          <c:v>-5.9</c:v>
                        </c:pt>
                      </c15:dlblFieldTableCache>
                    </c15:dlblFTEntry>
                  </c15:dlblFieldTable>
                  <c15:showDataLabelsRange val="0"/>
                </c:ext>
                <c:ext xmlns:c16="http://schemas.microsoft.com/office/drawing/2014/chart" uri="{C3380CC4-5D6E-409C-BE32-E72D297353CC}">
                  <c16:uniqueId val="{00000009-F471-4DF3-9712-98E864CF01E5}"/>
                </c:ext>
              </c:extLst>
            </c:dLbl>
            <c:dLbl>
              <c:idx val="10"/>
              <c:tx>
                <c:strRef>
                  <c:f>Daten_Diagramme!$D$24</c:f>
                  <c:strCache>
                    <c:ptCount val="1"/>
                    <c:pt idx="0">
                      <c:v>-2.1</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{DCECC330-9B27-4232-B464-510FCD8419DC}</c15:txfldGUID>
                      <c15:f>Daten_Diagramme!$D$24</c15:f>
                      <c15:dlblFieldTableCache>
                        <c:ptCount val="1"/>
                        <c:pt idx="0">
                          <c:v>-2.1</c:v>
                        </c:pt>
                      </c15:dlblFieldTableCache>
                    </c15:dlblFTEntry>
                  </c15:dlblFieldTable>
                  <c15:showDataLabelsRange val="0"/>
                </c:ext>
                <c:ext xmlns:c16="http://schemas.microsoft.com/office/drawing/2014/chart" uri="{C3380CC4-5D6E-409C-BE32-E72D297353CC}">
                  <c16:uniqueId val="{0000000A-F471-4DF3-9712-98E864CF01E5}"/>
                </c:ext>
              </c:extLst>
            </c:dLbl>
            <c:dLbl>
              <c:idx val="11"/>
              <c:tx>
                <c:strRef>
                  <c:f>Daten_Diagramme!$D$25</c:f>
                  <c:strCache>
                    <c:ptCount val="1"/>
                    <c:pt idx="0">
                      <c:v>-4.8</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{3B6CBDB5-9672-4042-B857-E86AAFA49049}</c15:txfldGUID>
                      <c15:f>Daten_Diagramme!$D$25</c15:f>
                      <c15:dlblFieldTableCache>
                        <c:ptCount val="1"/>
                        <c:pt idx="0">
                          <c:v>-4.8</c:v>
                        </c:pt>
                      </c15:dlblFieldTableCache>
                    </c15:dlblFTEntry>
                  </c15:dlblFieldTable>
                  <c15:showDataLabelsRange val="0"/>
                </c:ext>
                <c:ext xmlns:c16="http://schemas.microsoft.com/office/drawing/2014/chart" uri="{C3380CC4-5D6E-409C-BE32-E72D297353CC}">
                  <c16:uniqueId val="{0000000B-F471-4DF3-9712-98E864CF01E5}"/>
                </c:ext>
              </c:extLst>
            </c:dLbl>
            <c:dLbl>
              <c:idx val="12"/>
              <c:tx>
                <c:strRef>
                  <c:f>Daten_Diagramme!$D$26</c:f>
                  <c:strCache>
                    <c:ptCount val="1"/>
                    <c:pt idx="0">
                      <c:v>2.6</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{0CAA2E43-93F4-4813-9A74-05A697BE0120}</c15:txfldGUID>
                      <c15:f>Daten_Diagramme!$D$26</c15:f>
                      <c15:dlblFieldTableCache>
                        <c:ptCount val="1"/>
                        <c:pt idx="0">
                          <c:v>2.6</c:v>
                        </c:pt>
                      </c15:dlblFieldTableCache>
                    </c15:dlblFTEntry>
                  </c15:dlblFieldTable>
                  <c15:showDataLabelsRange val="0"/>
                </c:ext>
                <c:ext xmlns:c16="http://schemas.microsoft.com/office/drawing/2014/chart" uri="{C3380CC4-5D6E-409C-BE32-E72D297353CC}">
                  <c16:uniqueId val="{0000000C-F471-4DF3-9712-98E864CF01E5}"/>
                </c:ext>
              </c:extLst>
            </c:dLbl>
            <c:dLbl>
              <c:idx val="13"/>
              <c:tx>
                <c:strRef>
                  <c:f>Daten_Diagramme!$D$27</c:f>
                  <c:strCache>
                    <c:ptCount val="1"/>
                    <c:pt idx="0">
                      <c:v>-9.2</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{E51F1D7A-7757-48ED-85E4-C9446EB06FEA}</c15:txfldGUID>
                      <c15:f>Daten_Diagramme!$D$27</c15:f>
                      <c15:dlblFieldTableCache>
                        <c:ptCount val="1"/>
                        <c:pt idx="0">
                          <c:v>-9.2</c:v>
                        </c:pt>
                      </c15:dlblFieldTableCache>
                    </c15:dlblFTEntry>
                  </c15:dlblFieldTable>
                  <c15:showDataLabelsRange val="0"/>
                </c:ext>
                <c:ext xmlns:c16="http://schemas.microsoft.com/office/drawing/2014/chart" uri="{C3380CC4-5D6E-409C-BE32-E72D297353CC}">
                  <c16:uniqueId val="{0000000D-F471-4DF3-9712-98E864CF01E5}"/>
                </c:ext>
              </c:extLst>
            </c:dLbl>
            <c:dLbl>
              <c:idx val="14"/>
              <c:tx>
                <c:strRef>
                  <c:f>Daten_Diagramme!$D$28</c:f>
                  <c:strCache>
                    <c:ptCount val="1"/>
                    <c:pt idx="0">
                      <c:v>-1.1</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{F7B78387-CB8C-4B08-A33D-1396E34C861B}</c15:txfldGUID>
                      <c15:f>Daten_Diagramme!$D$28</c15:f>
                      <c15:dlblFieldTableCache>
                        <c:ptCount val="1"/>
                        <c:pt idx="0">
                          <c:v>-1.1</c:v>
                        </c:pt>
                      </c15:dlblFieldTableCache>
                    </c15:dlblFTEntry>
                  </c15:dlblFieldTable>
                  <c15:showDataLabelsRange val="0"/>
                </c:ext>
                <c:ext xmlns:c16="http://schemas.microsoft.com/office/drawing/2014/chart" uri="{C3380CC4-5D6E-409C-BE32-E72D297353CC}">
                  <c16:uniqueId val="{0000000E-F471-4DF3-9712-98E864CF01E5}"/>
                </c:ext>
              </c:extLst>
            </c:dLbl>
            <c:dLbl>
              <c:idx val="15"/>
              <c:tx>
                <c:strRef>
                  <c:f>Daten_Diagramme!$D$29</c:f>
                  <c:strCache>
                    <c:ptCount val="1"/>
                    <c:pt idx="0">
                      <c:v>-0.2</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{829DA87D-7995-41E4-BB10-78D3171DAEC8}</c15:txfldGUID>
                      <c15:f>Daten_Diagramme!$D$29</c15:f>
                      <c15:dlblFieldTableCache>
                        <c:ptCount val="1"/>
                        <c:pt idx="0">
                          <c:v>-0.2</c:v>
                        </c:pt>
                      </c15:dlblFieldTableCache>
                    </c15:dlblFTEntry>
                  </c15:dlblFieldTable>
                  <c15:showDataLabelsRange val="0"/>
                </c:ext>
                <c:ext xmlns:c16="http://schemas.microsoft.com/office/drawing/2014/chart" uri="{C3380CC4-5D6E-409C-BE32-E72D297353CC}">
                  <c16:uniqueId val="{0000000F-F471-4DF3-9712-98E864CF01E5}"/>
                </c:ext>
              </c:extLst>
            </c:dLbl>
            <c:dLbl>
              <c:idx val="16"/>
              <c:tx>
                <c:strRef>
                  <c:f>Daten_Diagramme!$D$30</c:f>
                  <c:strCache>
                    <c:ptCount val="1"/>
                    <c:pt idx="0">
                      <c:v>-6.5</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{7B218B03-6512-4BA8-B8FF-F15994A8AAEB}</c15:txfldGUID>
                      <c15:f>Daten_Diagramme!$D$30</c15:f>
                      <c15:dlblFieldTableCache>
                        <c:ptCount val="1"/>
                        <c:pt idx="0">
                          <c:v>-6.5</c:v>
                        </c:pt>
                      </c15:dlblFieldTableCache>
                    </c15:dlblFTEntry>
                  </c15:dlblFieldTable>
                  <c15:showDataLabelsRange val="0"/>
                </c:ext>
                <c:ext xmlns:c16="http://schemas.microsoft.com/office/drawing/2014/chart" uri="{C3380CC4-5D6E-409C-BE32-E72D297353CC}">
                  <c16:uniqueId val="{00000010-F471-4DF3-9712-98E864CF01E5}"/>
                </c:ext>
              </c:extLst>
            </c:dLbl>
            <c:dLbl>
              <c:idx val="17"/>
              <c:tx>
                <c:strRef>
                  <c:f>Daten_Diagramme!$D$31</c:f>
                  <c:strCache>
                    <c:ptCount val="1"/>
                    <c:pt idx="0">
                      <c:v>-0.6</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{1B398B09-88A9-40CB-9E3F-48B65F9BE234}</c15:txfldGUID>
                      <c15:f>Daten_Diagramme!$D$31</c15:f>
                      <c15:dlblFieldTableCache>
                        <c:ptCount val="1"/>
                        <c:pt idx="0">
                          <c:v>-0.6</c:v>
                        </c:pt>
                      </c15:dlblFieldTableCache>
                    </c15:dlblFTEntry>
                  </c15:dlblFieldTable>
                  <c15:showDataLabelsRange val="0"/>
                </c:ext>
                <c:ext xmlns:c16="http://schemas.microsoft.com/office/drawing/2014/chart" uri="{C3380CC4-5D6E-409C-BE32-E72D297353CC}">
                  <c16:uniqueId val="{00000011-F471-4DF3-9712-98E864CF01E5}"/>
                </c:ext>
              </c:extLst>
            </c:dLbl>
            <c:dLbl>
              <c:idx val="18"/>
              <c:tx>
                <c:strRef>
                  <c:f>Daten_Diagramme!$D$32</c:f>
                  <c:strCache>
                    <c:ptCount val="1"/>
                    <c:pt idx="0">
                      <c:v>-0.8</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{B78DF633-BFCD-4C84-B012-D3AF507BCAC5}</c15:txfldGUID>
                      <c15:f>Daten_Diagramme!$D$32</c15:f>
                      <c15:dlblFieldTableCache>
                        <c:ptCount val="1"/>
                        <c:pt idx="0">
                          <c:v>-0.8</c:v>
                        </c:pt>
                      </c15:dlblFieldTableCache>
                    </c15:dlblFTEntry>
                  </c15:dlblFieldTable>
                  <c15:showDataLabelsRange val="0"/>
                </c:ext>
                <c:ext xmlns:c16="http://schemas.microsoft.com/office/drawing/2014/chart" uri="{C3380CC4-5D6E-409C-BE32-E72D297353CC}">
                  <c16:uniqueId val="{00000012-F471-4DF3-9712-98E864CF01E5}"/>
                </c:ext>
              </c:extLst>
            </c:dLbl>
            <c:dLbl>
              <c:idx val="19"/>
              <c:tx>
                <c:strRef>
                  <c:f>Daten_Diagramme!$D$33</c:f>
                  <c:strCache>
                    <c:ptCount val="1"/>
                    <c:pt idx="0">
                      <c:v>0.9</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{92AAA290-D8CE-4420-BAC7-86A3D7E2B792}</c15:txfldGUID>
                      <c15:f>Daten_Diagramme!$D$33</c15:f>
                      <c15:dlblFieldTableCache>
                        <c:ptCount val="1"/>
                        <c:pt idx="0">
                          <c:v>0.9</c:v>
                        </c:pt>
                      </c15:dlblFieldTableCache>
                    </c15:dlblFTEntry>
                  </c15:dlblFieldTable>
                  <c15:showDataLabelsRange val="0"/>
                </c:ext>
                <c:ext xmlns:c16="http://schemas.microsoft.com/office/drawing/2014/chart" uri="{C3380CC4-5D6E-409C-BE32-E72D297353CC}">
                  <c16:uniqueId val="{00000013-F471-4DF3-9712-98E864CF01E5}"/>
                </c:ext>
              </c:extLst>
            </c:dLbl>
            <c:dLbl>
              <c:idx val="20"/>
              <c:tx>
                <c:strRef>
                  <c:f>Daten_Diagramme!$D$34</c:f>
                  <c:strCache>
                    <c:ptCount val="1"/>
                    <c:pt idx="0">
                      <c:v>5.7</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{7EF70E5B-7A50-461A-8B15-04F70B62C7C7}</c15:txfldGUID>
                      <c15:f>Daten_Diagramme!$D$34</c15:f>
                      <c15:dlblFieldTableCache>
                        <c:ptCount val="1"/>
                        <c:pt idx="0">
                          <c:v>5.7</c:v>
                        </c:pt>
                      </c15:dlblFieldTableCache>
                    </c15:dlblFTEntry>
                  </c15:dlblFieldTable>
                  <c15:showDataLabelsRange val="0"/>
                </c:ext>
                <c:ext xmlns:c16="http://schemas.microsoft.com/office/drawing/2014/chart" uri="{C3380CC4-5D6E-409C-BE32-E72D297353CC}">
                  <c16:uniqueId val="{00000014-F471-4DF3-9712-98E864CF01E5}"/>
                </c:ext>
              </c:extLst>
            </c:dLbl>
            <c:dLbl>
              <c:idx val="21"/>
              <c:tx>
                <c:strRef>
                  <c:f>Daten_Diagramme!$D$35</c:f>
                  <c:strCache>
                    <c:ptCount val="1"/>
                    <c:pt idx="0">
                      <c:v>0.0</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{56D969C1-E18F-49AF-A1A5-467E88672507}</c15:txfldGUID>
                      <c15:f>Daten_Diagramme!$D$35</c15:f>
                      <c15:dlblFieldTableCache>
                        <c:ptCount val="1"/>
                        <c:pt idx="0">
                          <c:v>0.0</c:v>
                        </c:pt>
                      </c15:dlblFieldTableCache>
                    </c15:dlblFTEntry>
                  </c15:dlblFieldTable>
                  <c15:showDataLabelsRange val="0"/>
                </c:ext>
                <c:ext xmlns:c16="http://schemas.microsoft.com/office/drawing/2014/chart" uri="{C3380CC4-5D6E-409C-BE32-E72D297353CC}">
                  <c16:uniqueId val="{00000015-F471-4DF3-9712-98E864CF01E5}"/>
                </c:ext>
              </c:extLst>
            </c:dLbl>
            <c:dLbl>
              <c:idx val="22"/>
              <c:tx>
                <c:strRef>
                  <c:f>Daten_Diagramme!$D$36</c:f>
                  <c:strCache>
                    <c:ptCount val="1"/>
                    <c:pt idx="0">
                      <c:v>0.0</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{5B3339EB-7BC0-4A97-9515-F1C945354F14}</c15:txfldGUID>
                      <c15:f>Daten_Diagramme!$D$36</c15:f>
                      <c15:dlblFieldTableCache>
                        <c:ptCount val="1"/>
                        <c:pt idx="0">
                          <c:v>0.0</c:v>
                        </c:pt>
                      </c15:dlblFieldTableCache>
                    </c15:dlblFTEntry>
                  </c15:dlblFieldTable>
                  <c15:showDataLabelsRange val="0"/>
                </c:ext>
                <c:ext xmlns:c16="http://schemas.microsoft.com/office/drawing/2014/chart" uri="{C3380CC4-5D6E-409C-BE32-E72D297353CC}">
                  <c16:uniqueId val="{00000016-F471-4DF3-9712-98E864CF01E5}"/>
                </c:ext>
              </c:extLst>
            </c:dLbl>
            <c:dLbl>
              <c:idx val="23"/>
              <c:tx>
                <c:strRef>
                  <c:f>Daten_Diagramme!$D$37</c:f>
                  <c:strCache>
                    <c:ptCount val="1"/>
                    <c:pt idx="0">
                      <c:v>0.0</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{99DF5F96-21E4-4AD4-A306-79CA06F4D5A3}</c15:txfldGUID>
                      <c15:f>Daten_Diagramme!$D$37</c15:f>
                      <c15:dlblFieldTableCache>
                        <c:ptCount val="1"/>
                        <c:pt idx="0">
                          <c:v>0.0</c:v>
                        </c:pt>
                      </c15:dlblFieldTableCache>
                    </c15:dlblFTEntry>
                  </c15:dlblFieldTable>
                  <c15:showDataLabelsRange val="0"/>
                </c:ext>
                <c:ext xmlns:c16="http://schemas.microsoft.com/office/drawing/2014/chart" uri="{C3380CC4-5D6E-409C-BE32-E72D297353CC}">
                  <c16:uniqueId val="{00000017-F471-4DF3-9712-98E864CF01E5}"/>
                </c:ext>
              </c:extLst>
            </c:dLbl>
            <c:dLbl>
              <c:idx val="24"/>
              <c:layout>
                <c:manualLayout>
                  <c:x val="4.7769028871392123E-3"/>
                  <c:y val="-4.6876052205785108E-5"/>
                </c:manualLayout>
              </c:layout>
              <c:tx>
                <c:strRef>
                  <c:f>Daten_Diagramme!$D$38</c:f>
                  <c:strCache>
                    <c:ptCount val="1"/>
                    <c:pt idx="0">
                      <c:v>-1.2</c:v>
                    </c:pt>
                  </c:strCache>
                </c:strRef>
              </c:tx>
              <c:dLblPos val="outEnd"/>
              <c:showLegendKey val="0"/>
              <c:showVal val="0"/>
              <c:showCatName val="0"/>
              <c:showSerName val="0"/>
              <c:showPercent val="0"/>
              <c:showBubbleSize val="0"/>
              <c:extLst>
                <c:ext xmlns:c15="http://schemas.microsoft.com/office/drawing/2012/chart" uri="{CE6537A1-D6FC-4f65-9D91-7224C49458BB}">
                  <c15:dlblFieldTable>
                    <c15:dlblFTEntry>
                      <c15:txfldGUID>{93D3742D-EF6C-42ED-9631-EEE6B434E1D2}</c15:txfldGUID>
                      <c15:f>Daten_Diagramme!$D$38</c15:f>
                      <c15:dlblFieldTableCache>
                        <c:ptCount val="1"/>
                        <c:pt idx="0">
                          <c:v>-1.2</c:v>
                        </c:pt>
                      </c15:dlblFieldTableCache>
                    </c15:dlblFTEntry>
                  </c15:dlblFieldTable>
                  <c15:showDataLabelsRange val="0"/>
                </c:ext>
                <c:ext xmlns:c16="http://schemas.microsoft.com/office/drawing/2014/chart" uri="{C3380CC4-5D6E-409C-BE32-E72D297353CC}">
                  <c16:uniqueId val="{00000018-F471-4DF3-9712-98E864CF01E5}"/>
                </c:ext>
              </c:extLst>
            </c:dLbl>
            <c:dLbl>
              <c:idx val="25"/>
              <c:tx>
                <c:strRef>
                  <c:f>Daten_Diagramme!$D$39</c:f>
                  <c:strCache>
                    <c:ptCount val="1"/>
                    <c:pt idx="0">
                      <c:v>-1.0</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{4C92FC17-A023-40E4-BD43-070E1565F067}</c15:txfldGUID>
                      <c15:f>Daten_Diagramme!$D$39</c15:f>
                      <c15:dlblFieldTableCache>
                        <c:ptCount val="1"/>
                        <c:pt idx="0">
                          <c:v>-1.0</c:v>
                        </c:pt>
                      </c15:dlblFieldTableCache>
                    </c15:dlblFTEntry>
                  </c15:dlblFieldTable>
                  <c15:showDataLabelsRange val="0"/>
                </c:ext>
                <c:ext xmlns:c16="http://schemas.microsoft.com/office/drawing/2014/chart" uri="{C3380CC4-5D6E-409C-BE32-E72D297353CC}">
                  <c16:uniqueId val="{00000019-F471-4DF3-9712-98E864CF01E5}"/>
                </c:ext>
              </c:extLst>
            </c:dLbl>
            <c:dLbl>
              <c:idx val="26"/>
              <c:tx>
                <c:strRef>
                  <c:f>Daten_Diagramme!$D$40</c:f>
                  <c:strCache>
                    <c:ptCount val="1"/>
                    <c:pt idx="0">
                      <c:v>-0.7</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{FDF58E75-188D-4788-9E30-C2065F620690}</c15:txfldGUID>
                      <c15:f>Daten_Diagramme!$D$40</c15:f>
                      <c15:dlblFieldTableCache>
                        <c:ptCount val="1"/>
                        <c:pt idx="0">
                          <c:v>-0.7</c:v>
                        </c:pt>
                      </c15:dlblFieldTableCache>
                    </c15:dlblFTEntry>
                  </c15:dlblFieldTable>
                  <c15:showDataLabelsRange val="0"/>
                </c:ext>
                <c:ext xmlns:c16="http://schemas.microsoft.com/office/drawing/2014/chart" uri="{C3380CC4-5D6E-409C-BE32-E72D297353CC}">
                  <c16:uniqueId val="{0000001A-F471-4DF3-9712-98E864CF01E5}"/>
                </c:ext>
              </c:extLst>
            </c:dLbl>
            <c:dLbl>
              <c:idx val="27"/>
              <c:tx>
                <c:strRef>
                  <c:f>Daten_Diagramme!$D$42</c:f>
                  <c:strCache>
                    <c:ptCount val="1"/>
                    <c:pt idx="0">
                      <c:v>#REF!</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{A5DE59F5-2FD5-491A-A64F-867800AA6D99}</c15:txfldGUID>
                      <c15:f>Daten_Diagramme!$D$42</c15:f>
                      <c15:dlblFieldTableCache>
                        <c:ptCount val="1"/>
                        <c:pt idx="0">
                          <c:v>#REF!</c:v>
                        </c:pt>
                      </c15:dlblFieldTableCache>
                    </c15:dlblFTEntry>
                  </c15:dlblFieldTable>
                  <c15:showDataLabelsRange val="0"/>
                </c:ext>
                <c:ext xmlns:c16="http://schemas.microsoft.com/office/drawing/2014/chart" uri="{C3380CC4-5D6E-409C-BE32-E72D297353CC}">
                  <c16:uniqueId val="{0000001B-F471-4DF3-9712-98E864CF01E5}"/>
                </c:ext>
              </c:extLst>
            </c:dLbl>
            <c:dLbl>
              <c:idx val="28"/>
              <c:tx>
                <c:strRef>
                  <c:f>Daten_Diagramme!$D$43</c:f>
                  <c:strCache>
                    <c:ptCount val="1"/>
                    <c:pt idx="0">
                      <c:v>#REF!</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{61A87D2B-516A-4B19-87F7-9119F7BDAF60}</c15:txfldGUID>
                      <c15:f>Daten_Diagramme!$D$43</c15:f>
                      <c15:dlblFieldTableCache>
                        <c:ptCount val="1"/>
                        <c:pt idx="0">
                          <c:v>#REF!</c:v>
                        </c:pt>
                      </c15:dlblFieldTableCache>
                    </c15:dlblFTEntry>
                  </c15:dlblFieldTable>
                  <c15:showDataLabelsRange val="0"/>
                </c:ext>
                <c:ext xmlns:c16="http://schemas.microsoft.com/office/drawing/2014/chart" uri="{C3380CC4-5D6E-409C-BE32-E72D297353CC}">
                  <c16:uniqueId val="{0000001C-F471-4DF3-9712-98E864CF01E5}"/>
                </c:ext>
              </c:extLst>
            </c:dLbl>
            <c:dLbl>
              <c:idx val="29"/>
              <c:tx>
                <c:strRef>
                  <c:f>Daten_Diagramme!$D$44</c:f>
                  <c:strCache>
                    <c:ptCount val="1"/>
                    <c:pt idx="0">
                      <c:v>#REF!</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{160CADF4-37FD-406F-858F-2636D67286D3}</c15:txfldGUID>
                      <c15:f>Daten_Diagramme!$D$44</c15:f>
                      <c15:dlblFieldTableCache>
                        <c:ptCount val="1"/>
                        <c:pt idx="0">
                          <c:v>#REF!</c:v>
                        </c:pt>
                      </c15:dlblFieldTableCache>
                    </c15:dlblFTEntry>
                  </c15:dlblFieldTable>
                  <c15:showDataLabelsRange val="0"/>
                </c:ext>
                <c:ext xmlns:c16="http://schemas.microsoft.com/office/drawing/2014/chart" uri="{C3380CC4-5D6E-409C-BE32-E72D297353CC}">
                  <c16:uniqueId val="{0000001D-F471-4DF3-9712-98E864CF01E5}"/>
                </c:ext>
              </c:extLst>
            </c:dLbl>
            <c:dLbl>
              <c:idx val="30"/>
              <c:tx>
                <c:strRef>
                  <c:f>Daten_Diagramme!$D$45</c:f>
                  <c:strCache>
                    <c:ptCount val="1"/>
                    <c:pt idx="0">
                      <c:v>#REF!</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{9DCA4D5E-A4A2-4646-96A0-4E074FC807C6}</c15:txfldGUID>
                      <c15:f>Daten_Diagramme!$D$45</c15:f>
                      <c15:dlblFieldTableCache>
                        <c:ptCount val="1"/>
                        <c:pt idx="0">
                          <c:v>#REF!</c:v>
                        </c:pt>
                      </c15:dlblFieldTableCache>
                    </c15:dlblFTEntry>
                  </c15:dlblFieldTable>
                  <c15:showDataLabelsRange val="0"/>
                </c:ext>
                <c:ext xmlns:c16="http://schemas.microsoft.com/office/drawing/2014/chart" uri="{C3380CC4-5D6E-409C-BE32-E72D297353CC}">
                  <c16:uniqueId val="{0000001E-F471-4DF3-9712-98E864CF01E5}"/>
                </c:ext>
              </c:extLst>
            </c:dLbl>
            <c:dLbl>
              <c:idx val="31"/>
              <c:tx>
                <c:strRef>
                  <c:f>Daten_Diagramme!$D$46</c:f>
                  <c:strCache>
                    <c:ptCount val="1"/>
                    <c:pt idx="0">
                      <c:v>-0.7</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{50E6809D-E122-4BA6-96C6-662056361B21}</c15:txfldGUID>
                      <c15:f>Daten_Diagramme!$D$46</c15:f>
                      <c15:dlblFieldTableCache>
                        <c:ptCount val="1"/>
                        <c:pt idx="0">
                          <c:v>-0.7</c:v>
                        </c:pt>
                      </c15:dlblFieldTableCache>
                    </c15:dlblFTEntry>
                  </c15:dlblFieldTable>
                  <c15:showDataLabelsRange val="0"/>
                </c:ext>
                <c:ext xmlns:c16="http://schemas.microsoft.com/office/drawing/2014/chart" uri="{C3380CC4-5D6E-409C-BE32-E72D297353CC}">
                  <c16:uniqueId val="{0000001F-F471-4DF3-9712-98E864CF01E5}"/>
                </c:ext>
              </c:extLst>
            </c:dLbl>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Daten_Diagramme!$B$14:$B$40</c:f>
              <c:numCache>
                <c:formatCode>0.0</c:formatCode>
                <c:ptCount val="27"/>
                <c:pt idx="0">
                  <c:v>-0.8213901319888971</c:v>
                </c:pt>
                <c:pt idx="1">
                  <c:v>-1.1543134872417984</c:v>
                </c:pt>
                <c:pt idx="2">
                  <c:v>-1.9601216627238931</c:v>
                </c:pt>
                <c:pt idx="3">
                  <c:v>-0.35607101073299763</c:v>
                </c:pt>
                <c:pt idx="4">
                  <c:v>1.2391208142793921</c:v>
                </c:pt>
                <c:pt idx="5">
                  <c:v>-0.87299052485893747</c:v>
                </c:pt>
                <c:pt idx="6">
                  <c:v>-2.0648121594493833</c:v>
                </c:pt>
                <c:pt idx="7">
                  <c:v>-2.5614577961148357</c:v>
                </c:pt>
                <c:pt idx="8">
                  <c:v>-2.8522987932582029</c:v>
                </c:pt>
                <c:pt idx="9">
                  <c:v>-5.8842239185750635</c:v>
                </c:pt>
                <c:pt idx="10">
                  <c:v>-2.0643806857942617</c:v>
                </c:pt>
                <c:pt idx="11">
                  <c:v>-4.7735618115055081</c:v>
                </c:pt>
                <c:pt idx="12">
                  <c:v>2.5667351129363452</c:v>
                </c:pt>
                <c:pt idx="13">
                  <c:v>-9.2188156236875258</c:v>
                </c:pt>
                <c:pt idx="14">
                  <c:v>-1.1195807527393997</c:v>
                </c:pt>
                <c:pt idx="15">
                  <c:v>-0.16797312430011199</c:v>
                </c:pt>
                <c:pt idx="16">
                  <c:v>-6.5495207667731625</c:v>
                </c:pt>
                <c:pt idx="17">
                  <c:v>-0.59648557149766246</c:v>
                </c:pt>
                <c:pt idx="18">
                  <c:v>-0.75896362208845847</c:v>
                </c:pt>
                <c:pt idx="19">
                  <c:v>0.93680089485458617</c:v>
                </c:pt>
                <c:pt idx="20">
                  <c:v>5.7142857142857144</c:v>
                </c:pt>
                <c:pt idx="21">
                  <c:v>0</c:v>
                </c:pt>
                <c:pt idx="22">
                  <c:v>0</c:v>
                </c:pt>
                <c:pt idx="24">
                  <c:v>-1.1543134872417984</c:v>
                </c:pt>
                <c:pt idx="25">
                  <c:v>-0.97415157376472661</c:v>
                </c:pt>
                <c:pt idx="26">
                  <c:v>-0.73731610064622577</c:v>
                </c:pt>
              </c:numCache>
            </c:numRef>
          </c:val>
          <c:extLst>
            <c:ext xmlns:c16="http://schemas.microsoft.com/office/drawing/2014/chart" uri="{C3380CC4-5D6E-409C-BE32-E72D297353CC}">
              <c16:uniqueId val="{00000020-F471-4DF3-9712-98E864CF01E5}"/>
            </c:ext>
          </c:extLst>
        </c:ser>
        <c:ser>
          <c:idx val="1"/>
          <c:order val="1"/>
          <c:spPr>
            <a:noFill/>
            <a:ln w="25400">
              <a:noFill/>
            </a:ln>
          </c:spPr>
          <c:invertIfNegative val="0"/>
          <c:dLbls>
            <c:dLbl>
              <c:idx val="0"/>
              <c:tx>
                <c:strRef>
                  <c:f>Daten_Diagramme!$F$14</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{46F4FDAB-F2C6-4CD6-A63A-8DB2BFBF902A}</c15:txfldGUID>
                      <c15:f>Daten_Diagramme!$F$14</c15:f>
                      <c15:dlblFieldTableCache>
                        <c:ptCount val="1"/>
                      </c15:dlblFieldTableCache>
                    </c15:dlblFTEntry>
                  </c15:dlblFieldTable>
                  <c15:showDataLabelsRange val="0"/>
                </c:ext>
                <c:ext xmlns:c16="http://schemas.microsoft.com/office/drawing/2014/chart" uri="{C3380CC4-5D6E-409C-BE32-E72D297353CC}">
                  <c16:uniqueId val="{00000021-F471-4DF3-9712-98E864CF01E5}"/>
                </c:ext>
              </c:extLst>
            </c:dLbl>
            <c:dLbl>
              <c:idx val="1"/>
              <c:tx>
                <c:strRef>
                  <c:f>Daten_Diagramme!$F$15</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{33083A26-5EC3-4373-80BB-5B783AE24E0C}</c15:txfldGUID>
                      <c15:f>Daten_Diagramme!$F$15</c15:f>
                      <c15:dlblFieldTableCache>
                        <c:ptCount val="1"/>
                      </c15:dlblFieldTableCache>
                    </c15:dlblFTEntry>
                  </c15:dlblFieldTable>
                  <c15:showDataLabelsRange val="0"/>
                </c:ext>
                <c:ext xmlns:c16="http://schemas.microsoft.com/office/drawing/2014/chart" uri="{C3380CC4-5D6E-409C-BE32-E72D297353CC}">
                  <c16:uniqueId val="{00000022-F471-4DF3-9712-98E864CF01E5}"/>
                </c:ext>
              </c:extLst>
            </c:dLbl>
            <c:dLbl>
              <c:idx val="2"/>
              <c:tx>
                <c:strRef>
                  <c:f>Daten_Diagramme!$F$16</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{391D9D03-982E-4D0B-960C-216C66D65A80}</c15:txfldGUID>
                      <c15:f>Daten_Diagramme!$F$16</c15:f>
                      <c15:dlblFieldTableCache>
                        <c:ptCount val="1"/>
                      </c15:dlblFieldTableCache>
                    </c15:dlblFTEntry>
                  </c15:dlblFieldTable>
                  <c15:showDataLabelsRange val="0"/>
                </c:ext>
                <c:ext xmlns:c16="http://schemas.microsoft.com/office/drawing/2014/chart" uri="{C3380CC4-5D6E-409C-BE32-E72D297353CC}">
                  <c16:uniqueId val="{00000023-F471-4DF3-9712-98E864CF01E5}"/>
                </c:ext>
              </c:extLst>
            </c:dLbl>
            <c:dLbl>
              <c:idx val="3"/>
              <c:tx>
                <c:strRef>
                  <c:f>Daten_Diagramme!$F$17</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{7B76B3AE-625E-492F-902A-2542DF86643B}</c15:txfldGUID>
                      <c15:f>Daten_Diagramme!$F$17</c15:f>
                      <c15:dlblFieldTableCache>
                        <c:ptCount val="1"/>
                      </c15:dlblFieldTableCache>
                    </c15:dlblFTEntry>
                  </c15:dlblFieldTable>
                  <c15:showDataLabelsRange val="0"/>
                </c:ext>
                <c:ext xmlns:c16="http://schemas.microsoft.com/office/drawing/2014/chart" uri="{C3380CC4-5D6E-409C-BE32-E72D297353CC}">
                  <c16:uniqueId val="{00000024-F471-4DF3-9712-98E864CF01E5}"/>
                </c:ext>
              </c:extLst>
            </c:dLbl>
            <c:dLbl>
              <c:idx val="4"/>
              <c:tx>
                <c:strRef>
                  <c:f>Daten_Diagramme!$F$18</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{139132B5-12AC-4BC0-8D61-164C960B3D5B}</c15:txfldGUID>
                      <c15:f>Daten_Diagramme!$F$18</c15:f>
                      <c15:dlblFieldTableCache>
                        <c:ptCount val="1"/>
                      </c15:dlblFieldTableCache>
                    </c15:dlblFTEntry>
                  </c15:dlblFieldTable>
                  <c15:showDataLabelsRange val="0"/>
                </c:ext>
                <c:ext xmlns:c16="http://schemas.microsoft.com/office/drawing/2014/chart" uri="{C3380CC4-5D6E-409C-BE32-E72D297353CC}">
                  <c16:uniqueId val="{00000025-F471-4DF3-9712-98E864CF01E5}"/>
                </c:ext>
              </c:extLst>
            </c:dLbl>
            <c:dLbl>
              <c:idx val="5"/>
              <c:tx>
                <c:strRef>
                  <c:f>Daten_Diagramme!$F$19</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{9B043B70-790F-4A5D-9E04-E789547CA785}</c15:txfldGUID>
                      <c15:f>Daten_Diagramme!$F$19</c15:f>
                      <c15:dlblFieldTableCache>
                        <c:ptCount val="1"/>
                      </c15:dlblFieldTableCache>
                    </c15:dlblFTEntry>
                  </c15:dlblFieldTable>
                  <c15:showDataLabelsRange val="0"/>
                </c:ext>
                <c:ext xmlns:c16="http://schemas.microsoft.com/office/drawing/2014/chart" uri="{C3380CC4-5D6E-409C-BE32-E72D297353CC}">
                  <c16:uniqueId val="{00000026-F471-4DF3-9712-98E864CF01E5}"/>
                </c:ext>
              </c:extLst>
            </c:dLbl>
            <c:dLbl>
              <c:idx val="6"/>
              <c:tx>
                <c:strRef>
                  <c:f>Daten_Diagramme!$F$20</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{9B62FCB3-3998-4CE4-A7C3-AE557F42A447}</c15:txfldGUID>
                      <c15:f>Daten_Diagramme!$F$20</c15:f>
                      <c15:dlblFieldTableCache>
                        <c:ptCount val="1"/>
                      </c15:dlblFieldTableCache>
                    </c15:dlblFTEntry>
                  </c15:dlblFieldTable>
                  <c15:showDataLabelsRange val="0"/>
                </c:ext>
                <c:ext xmlns:c16="http://schemas.microsoft.com/office/drawing/2014/chart" uri="{C3380CC4-5D6E-409C-BE32-E72D297353CC}">
                  <c16:uniqueId val="{00000027-F471-4DF3-9712-98E864CF01E5}"/>
                </c:ext>
              </c:extLst>
            </c:dLbl>
            <c:dLbl>
              <c:idx val="7"/>
              <c:tx>
                <c:strRef>
                  <c:f>Daten_Diagramme!$F$21</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{B4E32209-5B18-4F60-A5DA-C1A92BE54E5E}</c15:txfldGUID>
                      <c15:f>Daten_Diagramme!$F$21</c15:f>
                      <c15:dlblFieldTableCache>
                        <c:ptCount val="1"/>
                      </c15:dlblFieldTableCache>
                    </c15:dlblFTEntry>
                  </c15:dlblFieldTable>
                  <c15:showDataLabelsRange val="0"/>
                </c:ext>
                <c:ext xmlns:c16="http://schemas.microsoft.com/office/drawing/2014/chart" uri="{C3380CC4-5D6E-409C-BE32-E72D297353CC}">
                  <c16:uniqueId val="{00000028-F471-4DF3-9712-98E864CF01E5}"/>
                </c:ext>
              </c:extLst>
            </c:dLbl>
            <c:dLbl>
              <c:idx val="8"/>
              <c:tx>
                <c:strRef>
                  <c:f>Daten_Diagramme!$F$22</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{39E18926-B742-4C8B-A3EB-E19FC839FAF4}</c15:txfldGUID>
                      <c15:f>Daten_Diagramme!$F$22</c15:f>
                      <c15:dlblFieldTableCache>
                        <c:ptCount val="1"/>
                      </c15:dlblFieldTableCache>
                    </c15:dlblFTEntry>
                  </c15:dlblFieldTable>
                  <c15:showDataLabelsRange val="0"/>
                </c:ext>
                <c:ext xmlns:c16="http://schemas.microsoft.com/office/drawing/2014/chart" uri="{C3380CC4-5D6E-409C-BE32-E72D297353CC}">
                  <c16:uniqueId val="{00000029-F471-4DF3-9712-98E864CF01E5}"/>
                </c:ext>
              </c:extLst>
            </c:dLbl>
            <c:dLbl>
              <c:idx val="9"/>
              <c:tx>
                <c:strRef>
                  <c:f>Daten_Diagramme!$F$23</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{38AFA027-7EFF-4D19-AB16-A68607D27DD3}</c15:txfldGUID>
                      <c15:f>Daten_Diagramme!$F$23</c15:f>
                      <c15:dlblFieldTableCache>
                        <c:ptCount val="1"/>
                      </c15:dlblFieldTableCache>
                    </c15:dlblFTEntry>
                  </c15:dlblFieldTable>
                  <c15:showDataLabelsRange val="0"/>
                </c:ext>
                <c:ext xmlns:c16="http://schemas.microsoft.com/office/drawing/2014/chart" uri="{C3380CC4-5D6E-409C-BE32-E72D297353CC}">
                  <c16:uniqueId val="{0000002A-F471-4DF3-9712-98E864CF01E5}"/>
                </c:ext>
              </c:extLst>
            </c:dLbl>
            <c:dLbl>
              <c:idx val="10"/>
              <c:tx>
                <c:strRef>
                  <c:f>Daten_Diagramme!$F$24</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{1D4C49F9-BC06-4928-863F-B29189A0FF74}</c15:txfldGUID>
                      <c15:f>Daten_Diagramme!$F$24</c15:f>
                      <c15:dlblFieldTableCache>
                        <c:ptCount val="1"/>
                      </c15:dlblFieldTableCache>
                    </c15:dlblFTEntry>
                  </c15:dlblFieldTable>
                  <c15:showDataLabelsRange val="0"/>
                </c:ext>
                <c:ext xmlns:c16="http://schemas.microsoft.com/office/drawing/2014/chart" uri="{C3380CC4-5D6E-409C-BE32-E72D297353CC}">
                  <c16:uniqueId val="{0000002B-F471-4DF3-9712-98E864CF01E5}"/>
                </c:ext>
              </c:extLst>
            </c:dLbl>
            <c:dLbl>
              <c:idx val="11"/>
              <c:tx>
                <c:strRef>
                  <c:f>Daten_Diagramme!$F$25</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{715E7D9F-E2D2-4A3E-8039-892065D557E0}</c15:txfldGUID>
                      <c15:f>Daten_Diagramme!$F$25</c15:f>
                      <c15:dlblFieldTableCache>
                        <c:ptCount val="1"/>
                      </c15:dlblFieldTableCache>
                    </c15:dlblFTEntry>
                  </c15:dlblFieldTable>
                  <c15:showDataLabelsRange val="0"/>
                </c:ext>
                <c:ext xmlns:c16="http://schemas.microsoft.com/office/drawing/2014/chart" uri="{C3380CC4-5D6E-409C-BE32-E72D297353CC}">
                  <c16:uniqueId val="{0000002C-F471-4DF3-9712-98E864CF01E5}"/>
                </c:ext>
              </c:extLst>
            </c:dLbl>
            <c:dLbl>
              <c:idx val="12"/>
              <c:tx>
                <c:strRef>
                  <c:f>Daten_Diagramme!$F$26</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{2792E312-FD63-4BB8-BBF6-7D0A151F1E65}</c15:txfldGUID>
                      <c15:f>Daten_Diagramme!$F$26</c15:f>
                      <c15:dlblFieldTableCache>
                        <c:ptCount val="1"/>
                      </c15:dlblFieldTableCache>
                    </c15:dlblFTEntry>
                  </c15:dlblFieldTable>
                  <c15:showDataLabelsRange val="0"/>
                </c:ext>
                <c:ext xmlns:c16="http://schemas.microsoft.com/office/drawing/2014/chart" uri="{C3380CC4-5D6E-409C-BE32-E72D297353CC}">
                  <c16:uniqueId val="{0000002D-F471-4DF3-9712-98E864CF01E5}"/>
                </c:ext>
              </c:extLst>
            </c:dLbl>
            <c:dLbl>
              <c:idx val="13"/>
              <c:tx>
                <c:strRef>
                  <c:f>Daten_Diagramme!$F$27</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{CF9B64A6-1399-4728-9324-562341750BE8}</c15:txfldGUID>
                      <c15:f>Daten_Diagramme!$F$27</c15:f>
                      <c15:dlblFieldTableCache>
                        <c:ptCount val="1"/>
                      </c15:dlblFieldTableCache>
                    </c15:dlblFTEntry>
                  </c15:dlblFieldTable>
                  <c15:showDataLabelsRange val="0"/>
                </c:ext>
                <c:ext xmlns:c16="http://schemas.microsoft.com/office/drawing/2014/chart" uri="{C3380CC4-5D6E-409C-BE32-E72D297353CC}">
                  <c16:uniqueId val="{0000002E-F471-4DF3-9712-98E864CF01E5}"/>
                </c:ext>
              </c:extLst>
            </c:dLbl>
            <c:dLbl>
              <c:idx val="14"/>
              <c:tx>
                <c:strRef>
                  <c:f>Daten_Diagramme!$F$28</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{FE07FF73-5944-47FF-B428-7840CFF5355D}</c15:txfldGUID>
                      <c15:f>Daten_Diagramme!$F$28</c15:f>
                      <c15:dlblFieldTableCache>
                        <c:ptCount val="1"/>
                      </c15:dlblFieldTableCache>
                    </c15:dlblFTEntry>
                  </c15:dlblFieldTable>
                  <c15:showDataLabelsRange val="0"/>
                </c:ext>
                <c:ext xmlns:c16="http://schemas.microsoft.com/office/drawing/2014/chart" uri="{C3380CC4-5D6E-409C-BE32-E72D297353CC}">
                  <c16:uniqueId val="{0000002F-F471-4DF3-9712-98E864CF01E5}"/>
                </c:ext>
              </c:extLst>
            </c:dLbl>
            <c:dLbl>
              <c:idx val="15"/>
              <c:tx>
                <c:strRef>
                  <c:f>Daten_Diagramme!$F$29</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{A5385A29-60FD-407C-87ED-023086894937}</c15:txfldGUID>
                      <c15:f>Daten_Diagramme!$F$29</c15:f>
                      <c15:dlblFieldTableCache>
                        <c:ptCount val="1"/>
                      </c15:dlblFieldTableCache>
                    </c15:dlblFTEntry>
                  </c15:dlblFieldTable>
                  <c15:showDataLabelsRange val="0"/>
                </c:ext>
                <c:ext xmlns:c16="http://schemas.microsoft.com/office/drawing/2014/chart" uri="{C3380CC4-5D6E-409C-BE32-E72D297353CC}">
                  <c16:uniqueId val="{00000030-F471-4DF3-9712-98E864CF01E5}"/>
                </c:ext>
              </c:extLst>
            </c:dLbl>
            <c:dLbl>
              <c:idx val="16"/>
              <c:tx>
                <c:strRef>
                  <c:f>Daten_Diagramme!$F$30</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{AD659C8E-A9BA-4FD4-8019-1CA2EBEA97D4}</c15:txfldGUID>
                      <c15:f>Daten_Diagramme!$F$30</c15:f>
                      <c15:dlblFieldTableCache>
                        <c:ptCount val="1"/>
                      </c15:dlblFieldTableCache>
                    </c15:dlblFTEntry>
                  </c15:dlblFieldTable>
                  <c15:showDataLabelsRange val="0"/>
                </c:ext>
                <c:ext xmlns:c16="http://schemas.microsoft.com/office/drawing/2014/chart" uri="{C3380CC4-5D6E-409C-BE32-E72D297353CC}">
                  <c16:uniqueId val="{00000031-F471-4DF3-9712-98E864CF01E5}"/>
                </c:ext>
              </c:extLst>
            </c:dLbl>
            <c:dLbl>
              <c:idx val="17"/>
              <c:tx>
                <c:strRef>
                  <c:f>Daten_Diagramme!$F$31</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{5196FE2B-9A5A-4A80-90C6-3526DC958A35}</c15:txfldGUID>
                      <c15:f>Daten_Diagramme!$F$31</c15:f>
                      <c15:dlblFieldTableCache>
                        <c:ptCount val="1"/>
                      </c15:dlblFieldTableCache>
                    </c15:dlblFTEntry>
                  </c15:dlblFieldTable>
                  <c15:showDataLabelsRange val="0"/>
                </c:ext>
                <c:ext xmlns:c16="http://schemas.microsoft.com/office/drawing/2014/chart" uri="{C3380CC4-5D6E-409C-BE32-E72D297353CC}">
                  <c16:uniqueId val="{00000032-F471-4DF3-9712-98E864CF01E5}"/>
                </c:ext>
              </c:extLst>
            </c:dLbl>
            <c:dLbl>
              <c:idx val="18"/>
              <c:tx>
                <c:strRef>
                  <c:f>Daten_Diagramme!$F$32</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{28E2824D-2516-464E-BBED-922931F07235}</c15:txfldGUID>
                      <c15:f>Daten_Diagramme!$F$32</c15:f>
                      <c15:dlblFieldTableCache>
                        <c:ptCount val="1"/>
                      </c15:dlblFieldTableCache>
                    </c15:dlblFTEntry>
                  </c15:dlblFieldTable>
                  <c15:showDataLabelsRange val="0"/>
                </c:ext>
                <c:ext xmlns:c16="http://schemas.microsoft.com/office/drawing/2014/chart" uri="{C3380CC4-5D6E-409C-BE32-E72D297353CC}">
                  <c16:uniqueId val="{00000033-F471-4DF3-9712-98E864CF01E5}"/>
                </c:ext>
              </c:extLst>
            </c:dLbl>
            <c:dLbl>
              <c:idx val="19"/>
              <c:tx>
                <c:strRef>
                  <c:f>Daten_Diagramme!$F$33</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{C573B910-040F-40FE-A536-2A9883D304FA}</c15:txfldGUID>
                      <c15:f>Daten_Diagramme!$F$33</c15:f>
                      <c15:dlblFieldTableCache>
                        <c:ptCount val="1"/>
                      </c15:dlblFieldTableCache>
                    </c15:dlblFTEntry>
                  </c15:dlblFieldTable>
                  <c15:showDataLabelsRange val="0"/>
                </c:ext>
                <c:ext xmlns:c16="http://schemas.microsoft.com/office/drawing/2014/chart" uri="{C3380CC4-5D6E-409C-BE32-E72D297353CC}">
                  <c16:uniqueId val="{00000034-F471-4DF3-9712-98E864CF01E5}"/>
                </c:ext>
              </c:extLst>
            </c:dLbl>
            <c:dLbl>
              <c:idx val="20"/>
              <c:tx>
                <c:strRef>
                  <c:f>Daten_Diagramme!$F$34</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{CA28C835-04CF-4BB3-A255-A7B8BD6CBEDD}</c15:txfldGUID>
                      <c15:f>Daten_Diagramme!$F$34</c15:f>
                      <c15:dlblFieldTableCache>
                        <c:ptCount val="1"/>
                      </c15:dlblFieldTableCache>
                    </c15:dlblFTEntry>
                  </c15:dlblFieldTable>
                  <c15:showDataLabelsRange val="0"/>
                </c:ext>
                <c:ext xmlns:c16="http://schemas.microsoft.com/office/drawing/2014/chart" uri="{C3380CC4-5D6E-409C-BE32-E72D297353CC}">
                  <c16:uniqueId val="{00000035-F471-4DF3-9712-98E864CF01E5}"/>
                </c:ext>
              </c:extLst>
            </c:dLbl>
            <c:dLbl>
              <c:idx val="21"/>
              <c:tx>
                <c:strRef>
                  <c:f>Daten_Diagramme!$F$35</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{56E14119-76A2-4CB1-AD17-3C26A21D0118}</c15:txfldGUID>
                      <c15:f>Daten_Diagramme!$F$35</c15:f>
                      <c15:dlblFieldTableCache>
                        <c:ptCount val="1"/>
                      </c15:dlblFieldTableCache>
                    </c15:dlblFTEntry>
                  </c15:dlblFieldTable>
                  <c15:showDataLabelsRange val="0"/>
                </c:ext>
                <c:ext xmlns:c16="http://schemas.microsoft.com/office/drawing/2014/chart" uri="{C3380CC4-5D6E-409C-BE32-E72D297353CC}">
                  <c16:uniqueId val="{00000036-F471-4DF3-9712-98E864CF01E5}"/>
                </c:ext>
              </c:extLst>
            </c:dLbl>
            <c:dLbl>
              <c:idx val="22"/>
              <c:tx>
                <c:strRef>
                  <c:f>Daten_Diagramme!$F$36</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{DA113475-A90E-48EE-9DE1-8859FEC7C2FF}</c15:txfldGUID>
                      <c15:f>Daten_Diagramme!$F$36</c15:f>
                      <c15:dlblFieldTableCache>
                        <c:ptCount val="1"/>
                      </c15:dlblFieldTableCache>
                    </c15:dlblFTEntry>
                  </c15:dlblFieldTable>
                  <c15:showDataLabelsRange val="0"/>
                </c:ext>
                <c:ext xmlns:c16="http://schemas.microsoft.com/office/drawing/2014/chart" uri="{C3380CC4-5D6E-409C-BE32-E72D297353CC}">
                  <c16:uniqueId val="{00000037-F471-4DF3-9712-98E864CF01E5}"/>
                </c:ext>
              </c:extLst>
            </c:dLbl>
            <c:dLbl>
              <c:idx val="23"/>
              <c:tx>
                <c:strRef>
                  <c:f>Daten_Diagramme!$F$38</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{EB507A27-76BF-4489-A907-0244C7E823B9}</c15:txfldGUID>
                      <c15:f>Daten_Diagramme!$F$38</c15:f>
                      <c15:dlblFieldTableCache>
                        <c:ptCount val="1"/>
                      </c15:dlblFieldTableCache>
                    </c15:dlblFTEntry>
                  </c15:dlblFieldTable>
                  <c15:showDataLabelsRange val="0"/>
                </c:ext>
                <c:ext xmlns:c16="http://schemas.microsoft.com/office/drawing/2014/chart" uri="{C3380CC4-5D6E-409C-BE32-E72D297353CC}">
                  <c16:uniqueId val="{00000038-F471-4DF3-9712-98E864CF01E5}"/>
                </c:ext>
              </c:extLst>
            </c:dLbl>
            <c:dLbl>
              <c:idx val="24"/>
              <c:tx>
                <c:strRef>
                  <c:f>Daten_Diagramme!$F$39</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{5C7D336C-8B79-428A-A0DF-EF45E3C3D073}</c15:txfldGUID>
                      <c15:f>Daten_Diagramme!$F$39</c15:f>
                      <c15:dlblFieldTableCache>
                        <c:ptCount val="1"/>
                      </c15:dlblFieldTableCache>
                    </c15:dlblFTEntry>
                  </c15:dlblFieldTable>
                  <c15:showDataLabelsRange val="0"/>
                </c:ext>
                <c:ext xmlns:c16="http://schemas.microsoft.com/office/drawing/2014/chart" uri="{C3380CC4-5D6E-409C-BE32-E72D297353CC}">
                  <c16:uniqueId val="{00000039-F471-4DF3-9712-98E864CF01E5}"/>
                </c:ext>
              </c:extLst>
            </c:dLbl>
            <c:dLbl>
              <c:idx val="25"/>
              <c:tx>
                <c:strRef>
                  <c:f>Daten_Diagramme!$F$40</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{D0BE8FEB-E3F7-4D34-BEC3-19E410C0E4C8}</c15:txfldGUID>
                      <c15:f>Daten_Diagramme!$F$40</c15:f>
                      <c15:dlblFieldTableCache>
                        <c:ptCount val="1"/>
                      </c15:dlblFieldTableCache>
                    </c15:dlblFTEntry>
                  </c15:dlblFieldTable>
                  <c15:showDataLabelsRange val="0"/>
                </c:ext>
                <c:ext xmlns:c16="http://schemas.microsoft.com/office/drawing/2014/chart" uri="{C3380CC4-5D6E-409C-BE32-E72D297353CC}">
                  <c16:uniqueId val="{0000003A-F471-4DF3-9712-98E864CF01E5}"/>
                </c:ext>
              </c:extLst>
            </c:dLbl>
            <c:dLbl>
              <c:idx val="26"/>
              <c:tx>
                <c:strRef>
                  <c:f>Daten_Diagramme!$F$41</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{63DE573B-A759-44D6-8339-9624B6202669}</c15:txfldGUID>
                      <c15:f>Daten_Diagramme!$F$41</c15:f>
                      <c15:dlblFieldTableCache>
                        <c:ptCount val="1"/>
                      </c15:dlblFieldTableCache>
                    </c15:dlblFTEntry>
                  </c15:dlblFieldTable>
                  <c15:showDataLabelsRange val="0"/>
                </c:ext>
                <c:ext xmlns:c16="http://schemas.microsoft.com/office/drawing/2014/chart" uri="{C3380CC4-5D6E-409C-BE32-E72D297353CC}">
                  <c16:uniqueId val="{0000003B-F471-4DF3-9712-98E864CF01E5}"/>
                </c:ext>
              </c:extLst>
            </c:dLbl>
            <c:dLbl>
              <c:idx val="27"/>
              <c:tx>
                <c:strRef>
                  <c:f>Daten_Diagramme!$F$42</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{D01760D6-7AB4-41BF-8CFB-61C77698DD87}</c15:txfldGUID>
                      <c15:f>Daten_Diagramme!$F$42</c15:f>
                      <c15:dlblFieldTableCache>
                        <c:ptCount val="1"/>
                      </c15:dlblFieldTableCache>
                    </c15:dlblFTEntry>
                  </c15:dlblFieldTable>
                  <c15:showDataLabelsRange val="0"/>
                </c:ext>
                <c:ext xmlns:c16="http://schemas.microsoft.com/office/drawing/2014/chart" uri="{C3380CC4-5D6E-409C-BE32-E72D297353CC}">
                  <c16:uniqueId val="{0000003C-F471-4DF3-9712-98E864CF01E5}"/>
                </c:ext>
              </c:extLst>
            </c:dLbl>
            <c:dLbl>
              <c:idx val="28"/>
              <c:tx>
                <c:strRef>
                  <c:f>Daten_Diagramme!$F$43</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{ADCD5609-8946-4CC6-BB9D-743B943DC2DF}</c15:txfldGUID>
                      <c15:f>Daten_Diagramme!$F$43</c15:f>
                      <c15:dlblFieldTableCache>
                        <c:ptCount val="1"/>
                      </c15:dlblFieldTableCache>
                    </c15:dlblFTEntry>
                  </c15:dlblFieldTable>
                  <c15:showDataLabelsRange val="0"/>
                </c:ext>
                <c:ext xmlns:c16="http://schemas.microsoft.com/office/drawing/2014/chart" uri="{C3380CC4-5D6E-409C-BE32-E72D297353CC}">
                  <c16:uniqueId val="{0000003D-F471-4DF3-9712-98E864CF01E5}"/>
                </c:ext>
              </c:extLst>
            </c:dLbl>
            <c:dLbl>
              <c:idx val="29"/>
              <c:tx>
                <c:strRef>
                  <c:f>Daten_Diagramme!$F$44</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{89DB30AA-25D7-4ECD-9652-1CB9079BB19A}</c15:txfldGUID>
                      <c15:f>Daten_Diagramme!$F$44</c15:f>
                      <c15:dlblFieldTableCache>
                        <c:ptCount val="1"/>
                      </c15:dlblFieldTableCache>
                    </c15:dlblFTEntry>
                  </c15:dlblFieldTable>
                  <c15:showDataLabelsRange val="0"/>
                </c:ext>
                <c:ext xmlns:c16="http://schemas.microsoft.com/office/drawing/2014/chart" uri="{C3380CC4-5D6E-409C-BE32-E72D297353CC}">
                  <c16:uniqueId val="{0000003E-F471-4DF3-9712-98E864CF01E5}"/>
                </c:ext>
              </c:extLst>
            </c:dLbl>
            <c:dLbl>
              <c:idx val="30"/>
              <c:tx>
                <c:strRef>
                  <c:f>Daten_Diagramme!$F$45</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{F15461B9-494B-4EF8-A281-3C3CC00948DD}</c15:txfldGUID>
                      <c15:f>Daten_Diagramme!$F$45</c15:f>
                      <c15:dlblFieldTableCache>
                        <c:ptCount val="1"/>
                      </c15:dlblFieldTableCache>
                    </c15:dlblFTEntry>
                  </c15:dlblFieldTable>
                  <c15:showDataLabelsRange val="0"/>
                </c:ext>
                <c:ext xmlns:c16="http://schemas.microsoft.com/office/drawing/2014/chart" uri="{C3380CC4-5D6E-409C-BE32-E72D297353CC}">
                  <c16:uniqueId val="{0000003F-F471-4DF3-9712-98E864CF01E5}"/>
                </c:ext>
              </c:extLst>
            </c:dLbl>
            <c:dLbl>
              <c:idx val="31"/>
              <c:tx>
                <c:strRef>
                  <c:f>Daten_Diagramme!$F$46</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{D0DA82C5-817D-4895-8B78-A799D7EBBCD4}</c15:txfldGUID>
                      <c15:f>Daten_Diagramme!$F$46</c15:f>
                      <c15:dlblFieldTableCache>
                        <c:ptCount val="1"/>
                      </c15:dlblFieldTableCache>
                    </c15:dlblFTEntry>
                  </c15:dlblFieldTable>
                  <c15:showDataLabelsRange val="0"/>
                </c:ext>
                <c:ext xmlns:c16="http://schemas.microsoft.com/office/drawing/2014/chart" uri="{C3380CC4-5D6E-409C-BE32-E72D297353CC}">
                  <c16:uniqueId val="{00000040-F471-4DF3-9712-98E864CF01E5}"/>
                </c:ext>
              </c:extLst>
            </c:dLbl>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Daten_Diagramme!$H$14:$H$40</c:f>
              <c:numCache>
                <c:formatCode>0.0</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4">
                  <c:v>0</c:v>
                </c:pt>
                <c:pt idx="25">
                  <c:v>0</c:v>
                </c:pt>
                <c:pt idx="26">
                  <c:v>0</c:v>
                </c:pt>
              </c:numCache>
            </c:numRef>
          </c:val>
          <c:extLst>
            <c:ext xmlns:c16="http://schemas.microsoft.com/office/drawing/2014/chart" uri="{C3380CC4-5D6E-409C-BE32-E72D297353CC}">
              <c16:uniqueId val="{00000041-F471-4DF3-9712-98E864CF01E5}"/>
            </c:ext>
          </c:extLst>
        </c:ser>
        <c:dLbls>
          <c:showLegendKey val="0"/>
          <c:showVal val="1"/>
          <c:showCatName val="0"/>
          <c:showSerName val="0"/>
          <c:showPercent val="0"/>
          <c:showBubbleSize val="0"/>
        </c:dLbls>
        <c:gapWidth val="100"/>
        <c:overlap val="100"/>
        <c:axId val="297291304"/>
        <c:axId val="297291696"/>
      </c:barChart>
      <c:scatterChart>
        <c:scatterStyle val="lineMarker"/>
        <c:varyColors val="0"/>
        <c:ser>
          <c:idx val="2"/>
          <c:order val="2"/>
          <c:spPr>
            <a:ln w="28575">
              <a:noFill/>
            </a:ln>
          </c:spPr>
          <c:marker>
            <c:symbol val="picture"/>
            <c:spPr>
              <a:blipFill dpi="0" rotWithShape="0">
                <a:blip xmlns:r="http://schemas.openxmlformats.org/officeDocument/2006/relationships" r:embed="rId1"/>
                <a:srcRect/>
                <a:stretch>
                  <a:fillRect/>
                </a:stretch>
              </a:blipFill>
              <a:ln w="25400">
                <a:noFill/>
              </a:ln>
            </c:spPr>
          </c:marker>
          <c:dLbls>
            <c:delete val="1"/>
          </c:dLbls>
          <c:xVal>
            <c:numRef>
              <c:f>Daten_Diagramme!$K$14:$K$40</c:f>
              <c:numCache>
                <c:formatCode>General</c:formatCode>
                <c:ptCount val="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4">
                  <c:v>#N/A</c:v>
                </c:pt>
                <c:pt idx="25">
                  <c:v>#N/A</c:v>
                </c:pt>
                <c:pt idx="26">
                  <c:v>#N/A</c:v>
                </c:pt>
              </c:numCache>
            </c:numRef>
          </c:xVal>
          <c:yVal>
            <c:numRef>
              <c:f>Daten_Diagramme!$J$14:$J$40</c:f>
              <c:numCache>
                <c:formatCode>General</c:formatCode>
                <c:ptCount val="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4">
                  <c:v>#N/A</c:v>
                </c:pt>
                <c:pt idx="25">
                  <c:v>#N/A</c:v>
                </c:pt>
                <c:pt idx="26">
                  <c:v>#N/A</c:v>
                </c:pt>
              </c:numCache>
            </c:numRef>
          </c:yVal>
          <c:smooth val="0"/>
          <c:extLst>
            <c:ext xmlns:c16="http://schemas.microsoft.com/office/drawing/2014/chart" uri="{C3380CC4-5D6E-409C-BE32-E72D297353CC}">
              <c16:uniqueId val="{00000042-F471-4DF3-9712-98E864CF01E5}"/>
            </c:ext>
          </c:extLst>
        </c:ser>
        <c:dLbls>
          <c:showLegendKey val="0"/>
          <c:showVal val="1"/>
          <c:showCatName val="0"/>
          <c:showSerName val="0"/>
          <c:showPercent val="0"/>
          <c:showBubbleSize val="0"/>
        </c:dLbls>
        <c:axId val="297292088"/>
        <c:axId val="297292480"/>
      </c:scatterChart>
      <c:catAx>
        <c:axId val="297291304"/>
        <c:scaling>
          <c:orientation val="maxMin"/>
        </c:scaling>
        <c:delete val="0"/>
        <c:axPos val="l"/>
        <c:majorTickMark val="none"/>
        <c:minorTickMark val="none"/>
        <c:tickLblPos val="none"/>
        <c:spPr>
          <a:ln w="1270">
            <a:solidFill>
              <a:srgbClr val="000000"/>
            </a:solidFill>
            <a:prstDash val="solid"/>
          </a:ln>
        </c:spPr>
        <c:crossAx val="297291696"/>
        <c:crosses val="autoZero"/>
        <c:auto val="1"/>
        <c:lblAlgn val="ctr"/>
        <c:lblOffset val="100"/>
        <c:tickMarkSkip val="1"/>
        <c:noMultiLvlLbl val="0"/>
      </c:catAx>
      <c:valAx>
        <c:axId val="297291696"/>
        <c:scaling>
          <c:orientation val="minMax"/>
          <c:max val="50"/>
          <c:min val="-50"/>
        </c:scaling>
        <c:delete val="1"/>
        <c:axPos val="t"/>
        <c:numFmt formatCode="0.0" sourceLinked="1"/>
        <c:majorTickMark val="out"/>
        <c:minorTickMark val="none"/>
        <c:tickLblPos val="none"/>
        <c:crossAx val="297291304"/>
        <c:crosses val="autoZero"/>
        <c:crossBetween val="between"/>
        <c:majorUnit val="10"/>
        <c:minorUnit val="5"/>
      </c:valAx>
      <c:valAx>
        <c:axId val="297292088"/>
        <c:scaling>
          <c:orientation val="minMax"/>
        </c:scaling>
        <c:delete val="1"/>
        <c:axPos val="b"/>
        <c:numFmt formatCode="General" sourceLinked="1"/>
        <c:majorTickMark val="out"/>
        <c:minorTickMark val="none"/>
        <c:tickLblPos val="none"/>
        <c:crossAx val="297292480"/>
        <c:crosses val="max"/>
        <c:crossBetween val="midCat"/>
      </c:valAx>
      <c:valAx>
        <c:axId val="297292480"/>
        <c:scaling>
          <c:orientation val="maxMin"/>
          <c:max val="320"/>
          <c:min val="0"/>
        </c:scaling>
        <c:delete val="1"/>
        <c:axPos val="r"/>
        <c:numFmt formatCode="General" sourceLinked="1"/>
        <c:majorTickMark val="out"/>
        <c:minorTickMark val="none"/>
        <c:tickLblPos val="none"/>
        <c:crossAx val="297292088"/>
        <c:crosses val="max"/>
        <c:crossBetween val="midCat"/>
        <c:majorUnit val="10"/>
        <c:minorUnit val="5"/>
      </c:valAx>
      <c:spPr>
        <a:noFill/>
        <a:ln w="25400">
          <a:noFill/>
        </a:ln>
      </c:spPr>
    </c:plotArea>
    <c:plotVisOnly val="1"/>
    <c:dispBlanksAs val="gap"/>
    <c:showDLblsOverMax val="0"/>
  </c:chart>
  <c:spPr>
    <a:noFill/>
    <a:ln w="9525">
      <a:noFill/>
    </a:ln>
  </c:spPr>
  <c:txPr>
    <a:bodyPr/>
    <a:lstStyle/>
    <a:p>
      <a:pPr>
        <a:defRPr sz="500" b="0" i="0" u="none" strike="noStrike" baseline="0">
          <a:solidFill>
            <a:srgbClr val="000000"/>
          </a:solidFill>
          <a:latin typeface="Arial"/>
          <a:ea typeface="Arial"/>
          <a:cs typeface="Arial"/>
        </a:defRPr>
      </a:pPr>
      <a:endParaRPr lang="de-DE"/>
    </a:p>
  </c:txPr>
  <c:printSettings>
    <c:headerFooter alignWithMargins="0"/>
    <c:pageMargins b="0.98425196899999956" l="0.78740157499999996" r="0.78740157499999996" t="0.98425196899999956" header="0.49212598450000788" footer="0.49212598450000788"/>
    <c:pageSetup paperSize="9"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23397444397504E-2"/>
          <c:y val="1.4231505644191103E-2"/>
          <c:w val="0.90734965828060365"/>
          <c:h val="0.98576848542396367"/>
        </c:manualLayout>
      </c:layout>
      <c:barChart>
        <c:barDir val="bar"/>
        <c:grouping val="clustered"/>
        <c:varyColors val="0"/>
        <c:ser>
          <c:idx val="0"/>
          <c:order val="0"/>
          <c:spPr>
            <a:solidFill>
              <a:srgbClr val="969696"/>
            </a:solidFill>
            <a:ln w="25400">
              <a:noFill/>
            </a:ln>
          </c:spPr>
          <c:invertIfNegative val="0"/>
          <c:dLbls>
            <c:dLbl>
              <c:idx val="0"/>
              <c:tx>
                <c:strRef>
                  <c:f>Daten_Diagramme!$E$14</c:f>
                  <c:strCache>
                    <c:ptCount val="1"/>
                    <c:pt idx="0">
                      <c:v>2.5</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{65F7EF23-35E2-43BB-AF8C-B046F86E6B30}</c15:txfldGUID>
                      <c15:f>Daten_Diagramme!$E$14</c15:f>
                      <c15:dlblFieldTableCache>
                        <c:ptCount val="1"/>
                        <c:pt idx="0">
                          <c:v>2.5</c:v>
                        </c:pt>
                      </c15:dlblFieldTableCache>
                    </c15:dlblFTEntry>
                  </c15:dlblFieldTable>
                  <c15:showDataLabelsRange val="0"/>
                </c:ext>
                <c:ext xmlns:c16="http://schemas.microsoft.com/office/drawing/2014/chart" uri="{C3380CC4-5D6E-409C-BE32-E72D297353CC}">
                  <c16:uniqueId val="{00000000-12BE-4DFD-AF22-1BB5225F23F5}"/>
                </c:ext>
              </c:extLst>
            </c:dLbl>
            <c:dLbl>
              <c:idx val="1"/>
              <c:tx>
                <c:strRef>
                  <c:f>Daten_Diagramme!$E$15</c:f>
                  <c:strCache>
                    <c:ptCount val="1"/>
                    <c:pt idx="0">
                      <c:v>-6.8</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{00C3BEB3-4F60-496A-B53F-07D0AF137B0E}</c15:txfldGUID>
                      <c15:f>Daten_Diagramme!$E$15</c15:f>
                      <c15:dlblFieldTableCache>
                        <c:ptCount val="1"/>
                        <c:pt idx="0">
                          <c:v>-6.8</c:v>
                        </c:pt>
                      </c15:dlblFieldTableCache>
                    </c15:dlblFTEntry>
                  </c15:dlblFieldTable>
                  <c15:showDataLabelsRange val="0"/>
                </c:ext>
                <c:ext xmlns:c16="http://schemas.microsoft.com/office/drawing/2014/chart" uri="{C3380CC4-5D6E-409C-BE32-E72D297353CC}">
                  <c16:uniqueId val="{00000001-12BE-4DFD-AF22-1BB5225F23F5}"/>
                </c:ext>
              </c:extLst>
            </c:dLbl>
            <c:dLbl>
              <c:idx val="2"/>
              <c:tx>
                <c:strRef>
                  <c:f>Daten_Diagramme!$E$16</c:f>
                  <c:strCache>
                    <c:ptCount val="1"/>
                    <c:pt idx="0">
                      <c:v>-13.5</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{25B2D654-2AB6-42BD-9EEA-71AB9BEC20FE}</c15:txfldGUID>
                      <c15:f>Daten_Diagramme!$E$16</c15:f>
                      <c15:dlblFieldTableCache>
                        <c:ptCount val="1"/>
                        <c:pt idx="0">
                          <c:v>-13.5</c:v>
                        </c:pt>
                      </c15:dlblFieldTableCache>
                    </c15:dlblFTEntry>
                  </c15:dlblFieldTable>
                  <c15:showDataLabelsRange val="0"/>
                </c:ext>
                <c:ext xmlns:c16="http://schemas.microsoft.com/office/drawing/2014/chart" uri="{C3380CC4-5D6E-409C-BE32-E72D297353CC}">
                  <c16:uniqueId val="{00000002-12BE-4DFD-AF22-1BB5225F23F5}"/>
                </c:ext>
              </c:extLst>
            </c:dLbl>
            <c:dLbl>
              <c:idx val="3"/>
              <c:tx>
                <c:strRef>
                  <c:f>Daten_Diagramme!$E$17</c:f>
                  <c:strCache>
                    <c:ptCount val="1"/>
                    <c:pt idx="0">
                      <c:v>1.1</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{DD9A89C7-FC8F-455A-9BF1-10EA2B067076}</c15:txfldGUID>
                      <c15:f>Daten_Diagramme!$E$17</c15:f>
                      <c15:dlblFieldTableCache>
                        <c:ptCount val="1"/>
                        <c:pt idx="0">
                          <c:v>1.1</c:v>
                        </c:pt>
                      </c15:dlblFieldTableCache>
                    </c15:dlblFTEntry>
                  </c15:dlblFieldTable>
                  <c15:showDataLabelsRange val="0"/>
                </c:ext>
                <c:ext xmlns:c16="http://schemas.microsoft.com/office/drawing/2014/chart" uri="{C3380CC4-5D6E-409C-BE32-E72D297353CC}">
                  <c16:uniqueId val="{00000003-12BE-4DFD-AF22-1BB5225F23F5}"/>
                </c:ext>
              </c:extLst>
            </c:dLbl>
            <c:dLbl>
              <c:idx val="4"/>
              <c:tx>
                <c:strRef>
                  <c:f>Daten_Diagramme!$E$18</c:f>
                  <c:strCache>
                    <c:ptCount val="1"/>
                    <c:pt idx="0">
                      <c:v>2.3</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{9FA97014-50E4-49AC-A7B0-8FECFB05B0FE}</c15:txfldGUID>
                      <c15:f>Daten_Diagramme!$E$18</c15:f>
                      <c15:dlblFieldTableCache>
                        <c:ptCount val="1"/>
                        <c:pt idx="0">
                          <c:v>2.3</c:v>
                        </c:pt>
                      </c15:dlblFieldTableCache>
                    </c15:dlblFTEntry>
                  </c15:dlblFieldTable>
                  <c15:showDataLabelsRange val="0"/>
                </c:ext>
                <c:ext xmlns:c16="http://schemas.microsoft.com/office/drawing/2014/chart" uri="{C3380CC4-5D6E-409C-BE32-E72D297353CC}">
                  <c16:uniqueId val="{00000004-12BE-4DFD-AF22-1BB5225F23F5}"/>
                </c:ext>
              </c:extLst>
            </c:dLbl>
            <c:dLbl>
              <c:idx val="5"/>
              <c:tx>
                <c:strRef>
                  <c:f>Daten_Diagramme!$E$19</c:f>
                  <c:strCache>
                    <c:ptCount val="1"/>
                    <c:pt idx="0">
                      <c:v>1.6</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{B479BDB1-B065-4548-9BBC-B8B5A547ABB3}</c15:txfldGUID>
                      <c15:f>Daten_Diagramme!$E$19</c15:f>
                      <c15:dlblFieldTableCache>
                        <c:ptCount val="1"/>
                        <c:pt idx="0">
                          <c:v>1.6</c:v>
                        </c:pt>
                      </c15:dlblFieldTableCache>
                    </c15:dlblFTEntry>
                  </c15:dlblFieldTable>
                  <c15:showDataLabelsRange val="0"/>
                </c:ext>
                <c:ext xmlns:c16="http://schemas.microsoft.com/office/drawing/2014/chart" uri="{C3380CC4-5D6E-409C-BE32-E72D297353CC}">
                  <c16:uniqueId val="{00000005-12BE-4DFD-AF22-1BB5225F23F5}"/>
                </c:ext>
              </c:extLst>
            </c:dLbl>
            <c:dLbl>
              <c:idx val="6"/>
              <c:tx>
                <c:strRef>
                  <c:f>Daten_Diagramme!$E$20</c:f>
                  <c:strCache>
                    <c:ptCount val="1"/>
                    <c:pt idx="0">
                      <c:v>-5.4</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{EF1DB76C-D5E8-4CC1-A8AD-C68BF313B3D5}</c15:txfldGUID>
                      <c15:f>Daten_Diagramme!$E$20</c15:f>
                      <c15:dlblFieldTableCache>
                        <c:ptCount val="1"/>
                        <c:pt idx="0">
                          <c:v>-5.4</c:v>
                        </c:pt>
                      </c15:dlblFieldTableCache>
                    </c15:dlblFTEntry>
                  </c15:dlblFieldTable>
                  <c15:showDataLabelsRange val="0"/>
                </c:ext>
                <c:ext xmlns:c16="http://schemas.microsoft.com/office/drawing/2014/chart" uri="{C3380CC4-5D6E-409C-BE32-E72D297353CC}">
                  <c16:uniqueId val="{00000006-12BE-4DFD-AF22-1BB5225F23F5}"/>
                </c:ext>
              </c:extLst>
            </c:dLbl>
            <c:dLbl>
              <c:idx val="7"/>
              <c:tx>
                <c:strRef>
                  <c:f>Daten_Diagramme!$E$21</c:f>
                  <c:strCache>
                    <c:ptCount val="1"/>
                    <c:pt idx="0">
                      <c:v>3.9</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{1A719A33-E42A-4DD5-89BA-0D1C83C2845C}</c15:txfldGUID>
                      <c15:f>Daten_Diagramme!$E$21</c15:f>
                      <c15:dlblFieldTableCache>
                        <c:ptCount val="1"/>
                        <c:pt idx="0">
                          <c:v>3.9</c:v>
                        </c:pt>
                      </c15:dlblFieldTableCache>
                    </c15:dlblFTEntry>
                  </c15:dlblFieldTable>
                  <c15:showDataLabelsRange val="0"/>
                </c:ext>
                <c:ext xmlns:c16="http://schemas.microsoft.com/office/drawing/2014/chart" uri="{C3380CC4-5D6E-409C-BE32-E72D297353CC}">
                  <c16:uniqueId val="{00000007-12BE-4DFD-AF22-1BB5225F23F5}"/>
                </c:ext>
              </c:extLst>
            </c:dLbl>
            <c:dLbl>
              <c:idx val="8"/>
              <c:tx>
                <c:strRef>
                  <c:f>Daten_Diagramme!$E$22</c:f>
                  <c:strCache>
                    <c:ptCount val="1"/>
                    <c:pt idx="0">
                      <c:v>2.8</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{72A1655F-DAEB-4950-A8BF-E263AD4E85AA}</c15:txfldGUID>
                      <c15:f>Daten_Diagramme!$E$22</c15:f>
                      <c15:dlblFieldTableCache>
                        <c:ptCount val="1"/>
                        <c:pt idx="0">
                          <c:v>2.8</c:v>
                        </c:pt>
                      </c15:dlblFieldTableCache>
                    </c15:dlblFTEntry>
                  </c15:dlblFieldTable>
                  <c15:showDataLabelsRange val="0"/>
                </c:ext>
                <c:ext xmlns:c16="http://schemas.microsoft.com/office/drawing/2014/chart" uri="{C3380CC4-5D6E-409C-BE32-E72D297353CC}">
                  <c16:uniqueId val="{00000008-12BE-4DFD-AF22-1BB5225F23F5}"/>
                </c:ext>
              </c:extLst>
            </c:dLbl>
            <c:dLbl>
              <c:idx val="9"/>
              <c:tx>
                <c:strRef>
                  <c:f>Daten_Diagramme!$E$23</c:f>
                  <c:strCache>
                    <c:ptCount val="1"/>
                    <c:pt idx="0">
                      <c:v>1.9</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{0743F437-8605-4A43-AD72-8A94C220B4C9}</c15:txfldGUID>
                      <c15:f>Daten_Diagramme!$E$23</c15:f>
                      <c15:dlblFieldTableCache>
                        <c:ptCount val="1"/>
                        <c:pt idx="0">
                          <c:v>1.9</c:v>
                        </c:pt>
                      </c15:dlblFieldTableCache>
                    </c15:dlblFTEntry>
                  </c15:dlblFieldTable>
                  <c15:showDataLabelsRange val="0"/>
                </c:ext>
                <c:ext xmlns:c16="http://schemas.microsoft.com/office/drawing/2014/chart" uri="{C3380CC4-5D6E-409C-BE32-E72D297353CC}">
                  <c16:uniqueId val="{00000009-12BE-4DFD-AF22-1BB5225F23F5}"/>
                </c:ext>
              </c:extLst>
            </c:dLbl>
            <c:dLbl>
              <c:idx val="10"/>
              <c:tx>
                <c:strRef>
                  <c:f>Daten_Diagramme!$E$24</c:f>
                  <c:strCache>
                    <c:ptCount val="1"/>
                    <c:pt idx="0">
                      <c:v>7.9</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{10985B81-D5CD-4920-99A6-94C510FFD58B}</c15:txfldGUID>
                      <c15:f>Daten_Diagramme!$E$24</c15:f>
                      <c15:dlblFieldTableCache>
                        <c:ptCount val="1"/>
                        <c:pt idx="0">
                          <c:v>7.9</c:v>
                        </c:pt>
                      </c15:dlblFieldTableCache>
                    </c15:dlblFTEntry>
                  </c15:dlblFieldTable>
                  <c15:showDataLabelsRange val="0"/>
                </c:ext>
                <c:ext xmlns:c16="http://schemas.microsoft.com/office/drawing/2014/chart" uri="{C3380CC4-5D6E-409C-BE32-E72D297353CC}">
                  <c16:uniqueId val="{0000000A-12BE-4DFD-AF22-1BB5225F23F5}"/>
                </c:ext>
              </c:extLst>
            </c:dLbl>
            <c:dLbl>
              <c:idx val="11"/>
              <c:tx>
                <c:strRef>
                  <c:f>Daten_Diagramme!$E$25</c:f>
                  <c:strCache>
                    <c:ptCount val="1"/>
                    <c:pt idx="0">
                      <c:v>-0.8</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{DDC30A09-B904-4F6F-80FB-395DCFE6CC2C}</c15:txfldGUID>
                      <c15:f>Daten_Diagramme!$E$25</c15:f>
                      <c15:dlblFieldTableCache>
                        <c:ptCount val="1"/>
                        <c:pt idx="0">
                          <c:v>-0.8</c:v>
                        </c:pt>
                      </c15:dlblFieldTableCache>
                    </c15:dlblFTEntry>
                  </c15:dlblFieldTable>
                  <c15:showDataLabelsRange val="0"/>
                </c:ext>
                <c:ext xmlns:c16="http://schemas.microsoft.com/office/drawing/2014/chart" uri="{C3380CC4-5D6E-409C-BE32-E72D297353CC}">
                  <c16:uniqueId val="{0000000B-12BE-4DFD-AF22-1BB5225F23F5}"/>
                </c:ext>
              </c:extLst>
            </c:dLbl>
            <c:dLbl>
              <c:idx val="12"/>
              <c:tx>
                <c:strRef>
                  <c:f>Daten_Diagramme!$E$26</c:f>
                  <c:strCache>
                    <c:ptCount val="1"/>
                    <c:pt idx="0">
                      <c:v>9.1</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{F922B375-7C40-4CC2-8603-56FF08CEEAD6}</c15:txfldGUID>
                      <c15:f>Daten_Diagramme!$E$26</c15:f>
                      <c15:dlblFieldTableCache>
                        <c:ptCount val="1"/>
                        <c:pt idx="0">
                          <c:v>9.1</c:v>
                        </c:pt>
                      </c15:dlblFieldTableCache>
                    </c15:dlblFTEntry>
                  </c15:dlblFieldTable>
                  <c15:showDataLabelsRange val="0"/>
                </c:ext>
                <c:ext xmlns:c16="http://schemas.microsoft.com/office/drawing/2014/chart" uri="{C3380CC4-5D6E-409C-BE32-E72D297353CC}">
                  <c16:uniqueId val="{0000000C-12BE-4DFD-AF22-1BB5225F23F5}"/>
                </c:ext>
              </c:extLst>
            </c:dLbl>
            <c:dLbl>
              <c:idx val="13"/>
              <c:tx>
                <c:strRef>
                  <c:f>Daten_Diagramme!$E$27</c:f>
                  <c:strCache>
                    <c:ptCount val="1"/>
                    <c:pt idx="0">
                      <c:v>-1.4</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{0232D05A-786C-440D-89F7-2546E1A5B14B}</c15:txfldGUID>
                      <c15:f>Daten_Diagramme!$E$27</c15:f>
                      <c15:dlblFieldTableCache>
                        <c:ptCount val="1"/>
                        <c:pt idx="0">
                          <c:v>-1.4</c:v>
                        </c:pt>
                      </c15:dlblFieldTableCache>
                    </c15:dlblFTEntry>
                  </c15:dlblFieldTable>
                  <c15:showDataLabelsRange val="0"/>
                </c:ext>
                <c:ext xmlns:c16="http://schemas.microsoft.com/office/drawing/2014/chart" uri="{C3380CC4-5D6E-409C-BE32-E72D297353CC}">
                  <c16:uniqueId val="{0000000D-12BE-4DFD-AF22-1BB5225F23F5}"/>
                </c:ext>
              </c:extLst>
            </c:dLbl>
            <c:dLbl>
              <c:idx val="14"/>
              <c:tx>
                <c:strRef>
                  <c:f>Daten_Diagramme!$E$28</c:f>
                  <c:strCache>
                    <c:ptCount val="1"/>
                    <c:pt idx="0">
                      <c:v>1.0</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{5ECB51BC-62B6-43FE-B659-B766A9A31E28}</c15:txfldGUID>
                      <c15:f>Daten_Diagramme!$E$28</c15:f>
                      <c15:dlblFieldTableCache>
                        <c:ptCount val="1"/>
                        <c:pt idx="0">
                          <c:v>1.0</c:v>
                        </c:pt>
                      </c15:dlblFieldTableCache>
                    </c15:dlblFTEntry>
                  </c15:dlblFieldTable>
                  <c15:showDataLabelsRange val="0"/>
                </c:ext>
                <c:ext xmlns:c16="http://schemas.microsoft.com/office/drawing/2014/chart" uri="{C3380CC4-5D6E-409C-BE32-E72D297353CC}">
                  <c16:uniqueId val="{0000000E-12BE-4DFD-AF22-1BB5225F23F5}"/>
                </c:ext>
              </c:extLst>
            </c:dLbl>
            <c:dLbl>
              <c:idx val="15"/>
              <c:tx>
                <c:strRef>
                  <c:f>Daten_Diagramme!$E$29</c:f>
                  <c:strCache>
                    <c:ptCount val="1"/>
                    <c:pt idx="0">
                      <c:v>1.1</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{B6524748-28A2-4DE4-8060-9A682F66BC7B}</c15:txfldGUID>
                      <c15:f>Daten_Diagramme!$E$29</c15:f>
                      <c15:dlblFieldTableCache>
                        <c:ptCount val="1"/>
                        <c:pt idx="0">
                          <c:v>1.1</c:v>
                        </c:pt>
                      </c15:dlblFieldTableCache>
                    </c15:dlblFTEntry>
                  </c15:dlblFieldTable>
                  <c15:showDataLabelsRange val="0"/>
                </c:ext>
                <c:ext xmlns:c16="http://schemas.microsoft.com/office/drawing/2014/chart" uri="{C3380CC4-5D6E-409C-BE32-E72D297353CC}">
                  <c16:uniqueId val="{0000000F-12BE-4DFD-AF22-1BB5225F23F5}"/>
                </c:ext>
              </c:extLst>
            </c:dLbl>
            <c:dLbl>
              <c:idx val="16"/>
              <c:tx>
                <c:strRef>
                  <c:f>Daten_Diagramme!$E$30</c:f>
                  <c:strCache>
                    <c:ptCount val="1"/>
                    <c:pt idx="0">
                      <c:v>-16.7</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{98989AD5-16C6-49F0-BE5E-B317F5641CAD}</c15:txfldGUID>
                      <c15:f>Daten_Diagramme!$E$30</c15:f>
                      <c15:dlblFieldTableCache>
                        <c:ptCount val="1"/>
                        <c:pt idx="0">
                          <c:v>-16.7</c:v>
                        </c:pt>
                      </c15:dlblFieldTableCache>
                    </c15:dlblFTEntry>
                  </c15:dlblFieldTable>
                  <c15:showDataLabelsRange val="0"/>
                </c:ext>
                <c:ext xmlns:c16="http://schemas.microsoft.com/office/drawing/2014/chart" uri="{C3380CC4-5D6E-409C-BE32-E72D297353CC}">
                  <c16:uniqueId val="{00000010-12BE-4DFD-AF22-1BB5225F23F5}"/>
                </c:ext>
              </c:extLst>
            </c:dLbl>
            <c:dLbl>
              <c:idx val="17"/>
              <c:tx>
                <c:strRef>
                  <c:f>Daten_Diagramme!$E$31</c:f>
                  <c:strCache>
                    <c:ptCount val="1"/>
                    <c:pt idx="0">
                      <c:v>8.0</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{2295DD76-87F3-4D5B-9DF4-9969C062ACF1}</c15:txfldGUID>
                      <c15:f>Daten_Diagramme!$E$31</c15:f>
                      <c15:dlblFieldTableCache>
                        <c:ptCount val="1"/>
                        <c:pt idx="0">
                          <c:v>8.0</c:v>
                        </c:pt>
                      </c15:dlblFieldTableCache>
                    </c15:dlblFTEntry>
                  </c15:dlblFieldTable>
                  <c15:showDataLabelsRange val="0"/>
                </c:ext>
                <c:ext xmlns:c16="http://schemas.microsoft.com/office/drawing/2014/chart" uri="{C3380CC4-5D6E-409C-BE32-E72D297353CC}">
                  <c16:uniqueId val="{00000011-12BE-4DFD-AF22-1BB5225F23F5}"/>
                </c:ext>
              </c:extLst>
            </c:dLbl>
            <c:dLbl>
              <c:idx val="18"/>
              <c:tx>
                <c:strRef>
                  <c:f>Daten_Diagramme!$E$32</c:f>
                  <c:strCache>
                    <c:ptCount val="1"/>
                    <c:pt idx="0">
                      <c:v>-1.6</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{EB67FE67-5C4E-4B67-B467-315091BAAD38}</c15:txfldGUID>
                      <c15:f>Daten_Diagramme!$E$32</c15:f>
                      <c15:dlblFieldTableCache>
                        <c:ptCount val="1"/>
                        <c:pt idx="0">
                          <c:v>-1.6</c:v>
                        </c:pt>
                      </c15:dlblFieldTableCache>
                    </c15:dlblFTEntry>
                  </c15:dlblFieldTable>
                  <c15:showDataLabelsRange val="0"/>
                </c:ext>
                <c:ext xmlns:c16="http://schemas.microsoft.com/office/drawing/2014/chart" uri="{C3380CC4-5D6E-409C-BE32-E72D297353CC}">
                  <c16:uniqueId val="{00000012-12BE-4DFD-AF22-1BB5225F23F5}"/>
                </c:ext>
              </c:extLst>
            </c:dLbl>
            <c:dLbl>
              <c:idx val="19"/>
              <c:tx>
                <c:strRef>
                  <c:f>Daten_Diagramme!$E$33</c:f>
                  <c:strCache>
                    <c:ptCount val="1"/>
                    <c:pt idx="0">
                      <c:v>3.8</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{3B7AC029-8FAD-4126-BA26-91B47234FF85}</c15:txfldGUID>
                      <c15:f>Daten_Diagramme!$E$33</c15:f>
                      <c15:dlblFieldTableCache>
                        <c:ptCount val="1"/>
                        <c:pt idx="0">
                          <c:v>3.8</c:v>
                        </c:pt>
                      </c15:dlblFieldTableCache>
                    </c15:dlblFTEntry>
                  </c15:dlblFieldTable>
                  <c15:showDataLabelsRange val="0"/>
                </c:ext>
                <c:ext xmlns:c16="http://schemas.microsoft.com/office/drawing/2014/chart" uri="{C3380CC4-5D6E-409C-BE32-E72D297353CC}">
                  <c16:uniqueId val="{00000013-12BE-4DFD-AF22-1BB5225F23F5}"/>
                </c:ext>
              </c:extLst>
            </c:dLbl>
            <c:dLbl>
              <c:idx val="20"/>
              <c:tx>
                <c:strRef>
                  <c:f>Daten_Diagramme!$E$34</c:f>
                  <c:strCache>
                    <c:ptCount val="1"/>
                    <c:pt idx="0">
                      <c:v>4.9</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{00A141C5-7957-4EA6-8A26-5EC4BB35B675}</c15:txfldGUID>
                      <c15:f>Daten_Diagramme!$E$34</c15:f>
                      <c15:dlblFieldTableCache>
                        <c:ptCount val="1"/>
                        <c:pt idx="0">
                          <c:v>4.9</c:v>
                        </c:pt>
                      </c15:dlblFieldTableCache>
                    </c15:dlblFTEntry>
                  </c15:dlblFieldTable>
                  <c15:showDataLabelsRange val="0"/>
                </c:ext>
                <c:ext xmlns:c16="http://schemas.microsoft.com/office/drawing/2014/chart" uri="{C3380CC4-5D6E-409C-BE32-E72D297353CC}">
                  <c16:uniqueId val="{00000014-12BE-4DFD-AF22-1BB5225F23F5}"/>
                </c:ext>
              </c:extLst>
            </c:dLbl>
            <c:dLbl>
              <c:idx val="21"/>
              <c:tx>
                <c:strRef>
                  <c:f>Daten_Diagramme!$E$35</c:f>
                  <c:strCache>
                    <c:ptCount val="1"/>
                    <c:pt idx="0">
                      <c:v>1.2</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{05BBE7C0-F47E-4A74-B3C8-F5C0839E19FE}</c15:txfldGUID>
                      <c15:f>Daten_Diagramme!$E$35</c15:f>
                      <c15:dlblFieldTableCache>
                        <c:ptCount val="1"/>
                        <c:pt idx="0">
                          <c:v>1.2</c:v>
                        </c:pt>
                      </c15:dlblFieldTableCache>
                    </c15:dlblFTEntry>
                  </c15:dlblFieldTable>
                  <c15:showDataLabelsRange val="0"/>
                </c:ext>
                <c:ext xmlns:c16="http://schemas.microsoft.com/office/drawing/2014/chart" uri="{C3380CC4-5D6E-409C-BE32-E72D297353CC}">
                  <c16:uniqueId val="{00000015-12BE-4DFD-AF22-1BB5225F23F5}"/>
                </c:ext>
              </c:extLst>
            </c:dLbl>
            <c:dLbl>
              <c:idx val="22"/>
              <c:tx>
                <c:strRef>
                  <c:f>Daten_Diagramme!$E$36</c:f>
                  <c:strCache>
                    <c:ptCount val="1"/>
                    <c:pt idx="0">
                      <c:v>0.0</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{E9A7969E-B6A7-490C-B152-185F7E9158EB}</c15:txfldGUID>
                      <c15:f>Daten_Diagramme!$E$36</c15:f>
                      <c15:dlblFieldTableCache>
                        <c:ptCount val="1"/>
                        <c:pt idx="0">
                          <c:v>0.0</c:v>
                        </c:pt>
                      </c15:dlblFieldTableCache>
                    </c15:dlblFTEntry>
                  </c15:dlblFieldTable>
                  <c15:showDataLabelsRange val="0"/>
                </c:ext>
                <c:ext xmlns:c16="http://schemas.microsoft.com/office/drawing/2014/chart" uri="{C3380CC4-5D6E-409C-BE32-E72D297353CC}">
                  <c16:uniqueId val="{00000016-12BE-4DFD-AF22-1BB5225F23F5}"/>
                </c:ext>
              </c:extLst>
            </c:dLbl>
            <c:dLbl>
              <c:idx val="23"/>
              <c:tx>
                <c:strRef>
                  <c:f>Daten_Diagramme!$E$37</c:f>
                  <c:strCache>
                    <c:ptCount val="1"/>
                    <c:pt idx="0">
                      <c:v>0.0</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{FC8E16FB-EC34-4104-A048-9C80E1565F51}</c15:txfldGUID>
                      <c15:f>Daten_Diagramme!$E$37</c15:f>
                      <c15:dlblFieldTableCache>
                        <c:ptCount val="1"/>
                        <c:pt idx="0">
                          <c:v>0.0</c:v>
                        </c:pt>
                      </c15:dlblFieldTableCache>
                    </c15:dlblFTEntry>
                  </c15:dlblFieldTable>
                  <c15:showDataLabelsRange val="0"/>
                </c:ext>
                <c:ext xmlns:c16="http://schemas.microsoft.com/office/drawing/2014/chart" uri="{C3380CC4-5D6E-409C-BE32-E72D297353CC}">
                  <c16:uniqueId val="{00000017-12BE-4DFD-AF22-1BB5225F23F5}"/>
                </c:ext>
              </c:extLst>
            </c:dLbl>
            <c:dLbl>
              <c:idx val="24"/>
              <c:tx>
                <c:strRef>
                  <c:f>Daten_Diagramme!$E$38</c:f>
                  <c:strCache>
                    <c:ptCount val="1"/>
                    <c:pt idx="0">
                      <c:v>-6.8</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{99BDD433-A986-444F-8239-B4374302756E}</c15:txfldGUID>
                      <c15:f>Daten_Diagramme!$E$38</c15:f>
                      <c15:dlblFieldTableCache>
                        <c:ptCount val="1"/>
                        <c:pt idx="0">
                          <c:v>-6.8</c:v>
                        </c:pt>
                      </c15:dlblFieldTableCache>
                    </c15:dlblFTEntry>
                  </c15:dlblFieldTable>
                  <c15:showDataLabelsRange val="0"/>
                </c:ext>
                <c:ext xmlns:c16="http://schemas.microsoft.com/office/drawing/2014/chart" uri="{C3380CC4-5D6E-409C-BE32-E72D297353CC}">
                  <c16:uniqueId val="{00000018-12BE-4DFD-AF22-1BB5225F23F5}"/>
                </c:ext>
              </c:extLst>
            </c:dLbl>
            <c:dLbl>
              <c:idx val="25"/>
              <c:tx>
                <c:strRef>
                  <c:f>Daten_Diagramme!$E$39</c:f>
                  <c:strCache>
                    <c:ptCount val="1"/>
                    <c:pt idx="0">
                      <c:v>1.6</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{CA407921-A369-48AF-A2A3-90501930C7D5}</c15:txfldGUID>
                      <c15:f>Daten_Diagramme!$E$39</c15:f>
                      <c15:dlblFieldTableCache>
                        <c:ptCount val="1"/>
                        <c:pt idx="0">
                          <c:v>1.6</c:v>
                        </c:pt>
                      </c15:dlblFieldTableCache>
                    </c15:dlblFTEntry>
                  </c15:dlblFieldTable>
                  <c15:showDataLabelsRange val="0"/>
                </c:ext>
                <c:ext xmlns:c16="http://schemas.microsoft.com/office/drawing/2014/chart" uri="{C3380CC4-5D6E-409C-BE32-E72D297353CC}">
                  <c16:uniqueId val="{00000019-12BE-4DFD-AF22-1BB5225F23F5}"/>
                </c:ext>
              </c:extLst>
            </c:dLbl>
            <c:dLbl>
              <c:idx val="26"/>
              <c:tx>
                <c:strRef>
                  <c:f>Daten_Diagramme!$E$40</c:f>
                  <c:strCache>
                    <c:ptCount val="1"/>
                    <c:pt idx="0">
                      <c:v>3.0</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{0C0DD892-5347-4CE9-A4C1-CDBC9AED3F4B}</c15:txfldGUID>
                      <c15:f>Daten_Diagramme!$E$40</c15:f>
                      <c15:dlblFieldTableCache>
                        <c:ptCount val="1"/>
                        <c:pt idx="0">
                          <c:v>3.0</c:v>
                        </c:pt>
                      </c15:dlblFieldTableCache>
                    </c15:dlblFTEntry>
                  </c15:dlblFieldTable>
                  <c15:showDataLabelsRange val="0"/>
                </c:ext>
                <c:ext xmlns:c16="http://schemas.microsoft.com/office/drawing/2014/chart" uri="{C3380CC4-5D6E-409C-BE32-E72D297353CC}">
                  <c16:uniqueId val="{0000001A-12BE-4DFD-AF22-1BB5225F23F5}"/>
                </c:ext>
              </c:extLst>
            </c:dLbl>
            <c:dLbl>
              <c:idx val="27"/>
              <c:tx>
                <c:strRef>
                  <c:f>Daten_Diagramme!$E$42</c:f>
                  <c:strCache>
                    <c:ptCount val="1"/>
                    <c:pt idx="0">
                      <c:v>#REF!</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{F24C0B51-081E-4456-8D29-573D08F77BEF}</c15:txfldGUID>
                      <c15:f>Daten_Diagramme!$E$42</c15:f>
                      <c15:dlblFieldTableCache>
                        <c:ptCount val="1"/>
                        <c:pt idx="0">
                          <c:v>#REF!</c:v>
                        </c:pt>
                      </c15:dlblFieldTableCache>
                    </c15:dlblFTEntry>
                  </c15:dlblFieldTable>
                  <c15:showDataLabelsRange val="0"/>
                </c:ext>
                <c:ext xmlns:c16="http://schemas.microsoft.com/office/drawing/2014/chart" uri="{C3380CC4-5D6E-409C-BE32-E72D297353CC}">
                  <c16:uniqueId val="{0000001B-12BE-4DFD-AF22-1BB5225F23F5}"/>
                </c:ext>
              </c:extLst>
            </c:dLbl>
            <c:dLbl>
              <c:idx val="28"/>
              <c:tx>
                <c:strRef>
                  <c:f>Daten_Diagramme!$E$43</c:f>
                  <c:strCache>
                    <c:ptCount val="1"/>
                    <c:pt idx="0">
                      <c:v>#REF!</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{79B52C43-AC80-415E-B82A-26340BD06405}</c15:txfldGUID>
                      <c15:f>Daten_Diagramme!$E$43</c15:f>
                      <c15:dlblFieldTableCache>
                        <c:ptCount val="1"/>
                        <c:pt idx="0">
                          <c:v>#REF!</c:v>
                        </c:pt>
                      </c15:dlblFieldTableCache>
                    </c15:dlblFTEntry>
                  </c15:dlblFieldTable>
                  <c15:showDataLabelsRange val="0"/>
                </c:ext>
                <c:ext xmlns:c16="http://schemas.microsoft.com/office/drawing/2014/chart" uri="{C3380CC4-5D6E-409C-BE32-E72D297353CC}">
                  <c16:uniqueId val="{0000001C-12BE-4DFD-AF22-1BB5225F23F5}"/>
                </c:ext>
              </c:extLst>
            </c:dLbl>
            <c:dLbl>
              <c:idx val="29"/>
              <c:tx>
                <c:strRef>
                  <c:f>Daten_Diagramme!$E$44</c:f>
                  <c:strCache>
                    <c:ptCount val="1"/>
                    <c:pt idx="0">
                      <c:v>#REF!</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{650B4299-EB45-474C-85E4-2C28F748140D}</c15:txfldGUID>
                      <c15:f>Daten_Diagramme!$E$44</c15:f>
                      <c15:dlblFieldTableCache>
                        <c:ptCount val="1"/>
                        <c:pt idx="0">
                          <c:v>#REF!</c:v>
                        </c:pt>
                      </c15:dlblFieldTableCache>
                    </c15:dlblFTEntry>
                  </c15:dlblFieldTable>
                  <c15:showDataLabelsRange val="0"/>
                </c:ext>
                <c:ext xmlns:c16="http://schemas.microsoft.com/office/drawing/2014/chart" uri="{C3380CC4-5D6E-409C-BE32-E72D297353CC}">
                  <c16:uniqueId val="{0000001D-12BE-4DFD-AF22-1BB5225F23F5}"/>
                </c:ext>
              </c:extLst>
            </c:dLbl>
            <c:dLbl>
              <c:idx val="30"/>
              <c:tx>
                <c:strRef>
                  <c:f>Daten_Diagramme!$E$45</c:f>
                  <c:strCache>
                    <c:ptCount val="1"/>
                    <c:pt idx="0">
                      <c:v>#REF!</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{7549770C-41DB-497B-869D-1DFDB5F71DD0}</c15:txfldGUID>
                      <c15:f>Daten_Diagramme!$E$45</c15:f>
                      <c15:dlblFieldTableCache>
                        <c:ptCount val="1"/>
                        <c:pt idx="0">
                          <c:v>#REF!</c:v>
                        </c:pt>
                      </c15:dlblFieldTableCache>
                    </c15:dlblFTEntry>
                  </c15:dlblFieldTable>
                  <c15:showDataLabelsRange val="0"/>
                </c:ext>
                <c:ext xmlns:c16="http://schemas.microsoft.com/office/drawing/2014/chart" uri="{C3380CC4-5D6E-409C-BE32-E72D297353CC}">
                  <c16:uniqueId val="{0000001E-12BE-4DFD-AF22-1BB5225F23F5}"/>
                </c:ext>
              </c:extLst>
            </c:dLbl>
            <c:dLbl>
              <c:idx val="31"/>
              <c:tx>
                <c:strRef>
                  <c:f>Daten_Diagramme!$E$46</c:f>
                  <c:strCache>
                    <c:ptCount val="1"/>
                    <c:pt idx="0">
                      <c:v>3.0</c:v>
                    </c:pt>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{899E96F0-F263-4EB7-A947-B09F1BADB803}</c15:txfldGUID>
                      <c15:f>Daten_Diagramme!$E$46</c15:f>
                      <c15:dlblFieldTableCache>
                        <c:ptCount val="1"/>
                        <c:pt idx="0">
                          <c:v>3.0</c:v>
                        </c:pt>
                      </c15:dlblFieldTableCache>
                    </c15:dlblFTEntry>
                  </c15:dlblFieldTable>
                  <c15:showDataLabelsRange val="0"/>
                </c:ext>
                <c:ext xmlns:c16="http://schemas.microsoft.com/office/drawing/2014/chart" uri="{C3380CC4-5D6E-409C-BE32-E72D297353CC}">
                  <c16:uniqueId val="{0000001F-12BE-4DFD-AF22-1BB5225F23F5}"/>
                </c:ext>
              </c:extLst>
            </c:dLbl>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Daten_Diagramme!$C$14:$C$40</c:f>
              <c:numCache>
                <c:formatCode>0.0</c:formatCode>
                <c:ptCount val="27"/>
                <c:pt idx="0">
                  <c:v>2.4929527836504581</c:v>
                </c:pt>
                <c:pt idx="1">
                  <c:v>-6.8111455108359129</c:v>
                </c:pt>
                <c:pt idx="2">
                  <c:v>-13.48314606741573</c:v>
                </c:pt>
                <c:pt idx="3">
                  <c:v>1.075268817204301</c:v>
                </c:pt>
                <c:pt idx="4">
                  <c:v>2.2522522522522523</c:v>
                </c:pt>
                <c:pt idx="5">
                  <c:v>1.6</c:v>
                </c:pt>
                <c:pt idx="6">
                  <c:v>-5.4054054054054053</c:v>
                </c:pt>
                <c:pt idx="7">
                  <c:v>3.8961038961038961</c:v>
                </c:pt>
                <c:pt idx="8">
                  <c:v>2.8385570668243645</c:v>
                </c:pt>
                <c:pt idx="9">
                  <c:v>1.9379844961240309</c:v>
                </c:pt>
                <c:pt idx="10">
                  <c:v>7.9303675048355897</c:v>
                </c:pt>
                <c:pt idx="11">
                  <c:v>-0.81967213114754101</c:v>
                </c:pt>
                <c:pt idx="12">
                  <c:v>9.1463414634146343</c:v>
                </c:pt>
                <c:pt idx="13">
                  <c:v>-1.3765978367748279</c:v>
                </c:pt>
                <c:pt idx="14">
                  <c:v>0.98146128680479827</c:v>
                </c:pt>
                <c:pt idx="15">
                  <c:v>1.0976948408342482</c:v>
                </c:pt>
                <c:pt idx="16">
                  <c:v>-16.666666666666668</c:v>
                </c:pt>
                <c:pt idx="17">
                  <c:v>8</c:v>
                </c:pt>
                <c:pt idx="18">
                  <c:v>-1.6339869281045751</c:v>
                </c:pt>
                <c:pt idx="19">
                  <c:v>3.7575757575757578</c:v>
                </c:pt>
                <c:pt idx="20">
                  <c:v>4.8648648648648649</c:v>
                </c:pt>
                <c:pt idx="21">
                  <c:v>1.1843079200592155</c:v>
                </c:pt>
                <c:pt idx="22">
                  <c:v>0</c:v>
                </c:pt>
                <c:pt idx="24">
                  <c:v>-6.8111455108359129</c:v>
                </c:pt>
                <c:pt idx="25">
                  <c:v>1.5651201788708775</c:v>
                </c:pt>
                <c:pt idx="26">
                  <c:v>2.997835497835498</c:v>
                </c:pt>
              </c:numCache>
            </c:numRef>
          </c:val>
          <c:extLst>
            <c:ext xmlns:c16="http://schemas.microsoft.com/office/drawing/2014/chart" uri="{C3380CC4-5D6E-409C-BE32-E72D297353CC}">
              <c16:uniqueId val="{00000020-12BE-4DFD-AF22-1BB5225F23F5}"/>
            </c:ext>
          </c:extLst>
        </c:ser>
        <c:ser>
          <c:idx val="1"/>
          <c:order val="1"/>
          <c:spPr>
            <a:noFill/>
            <a:ln w="25400">
              <a:noFill/>
            </a:ln>
          </c:spPr>
          <c:invertIfNegative val="0"/>
          <c:dLbls>
            <c:dLbl>
              <c:idx val="0"/>
              <c:tx>
                <c:strRef>
                  <c:f>Daten_Diagramme!$G$14</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{13A74525-7F66-46AD-9C80-1D26EBC79A7A}</c15:txfldGUID>
                      <c15:f>Daten_Diagramme!$G$14</c15:f>
                      <c15:dlblFieldTableCache>
                        <c:ptCount val="1"/>
                      </c15:dlblFieldTableCache>
                    </c15:dlblFTEntry>
                  </c15:dlblFieldTable>
                  <c15:showDataLabelsRange val="0"/>
                </c:ext>
                <c:ext xmlns:c16="http://schemas.microsoft.com/office/drawing/2014/chart" uri="{C3380CC4-5D6E-409C-BE32-E72D297353CC}">
                  <c16:uniqueId val="{00000021-12BE-4DFD-AF22-1BB5225F23F5}"/>
                </c:ext>
              </c:extLst>
            </c:dLbl>
            <c:dLbl>
              <c:idx val="1"/>
              <c:tx>
                <c:strRef>
                  <c:f>Daten_Diagramme!$G$15</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{3BF55C6E-6AC3-4C7D-A9B7-E42C6EDED320}</c15:txfldGUID>
                      <c15:f>Daten_Diagramme!$G$15</c15:f>
                      <c15:dlblFieldTableCache>
                        <c:ptCount val="1"/>
                      </c15:dlblFieldTableCache>
                    </c15:dlblFTEntry>
                  </c15:dlblFieldTable>
                  <c15:showDataLabelsRange val="0"/>
                </c:ext>
                <c:ext xmlns:c16="http://schemas.microsoft.com/office/drawing/2014/chart" uri="{C3380CC4-5D6E-409C-BE32-E72D297353CC}">
                  <c16:uniqueId val="{00000022-12BE-4DFD-AF22-1BB5225F23F5}"/>
                </c:ext>
              </c:extLst>
            </c:dLbl>
            <c:dLbl>
              <c:idx val="2"/>
              <c:tx>
                <c:strRef>
                  <c:f>Daten_Diagramme!$G$16</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{787E2A06-B677-45C3-BDE0-66A500CA9E47}</c15:txfldGUID>
                      <c15:f>Daten_Diagramme!$G$16</c15:f>
                      <c15:dlblFieldTableCache>
                        <c:ptCount val="1"/>
                      </c15:dlblFieldTableCache>
                    </c15:dlblFTEntry>
                  </c15:dlblFieldTable>
                  <c15:showDataLabelsRange val="0"/>
                </c:ext>
                <c:ext xmlns:c16="http://schemas.microsoft.com/office/drawing/2014/chart" uri="{C3380CC4-5D6E-409C-BE32-E72D297353CC}">
                  <c16:uniqueId val="{00000023-12BE-4DFD-AF22-1BB5225F23F5}"/>
                </c:ext>
              </c:extLst>
            </c:dLbl>
            <c:dLbl>
              <c:idx val="3"/>
              <c:tx>
                <c:strRef>
                  <c:f>Daten_Diagramme!$G$17</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{88032C5F-69DD-473F-AC47-34072728C60B}</c15:txfldGUID>
                      <c15:f>Daten_Diagramme!$G$17</c15:f>
                      <c15:dlblFieldTableCache>
                        <c:ptCount val="1"/>
                      </c15:dlblFieldTableCache>
                    </c15:dlblFTEntry>
                  </c15:dlblFieldTable>
                  <c15:showDataLabelsRange val="0"/>
                </c:ext>
                <c:ext xmlns:c16="http://schemas.microsoft.com/office/drawing/2014/chart" uri="{C3380CC4-5D6E-409C-BE32-E72D297353CC}">
                  <c16:uniqueId val="{00000024-12BE-4DFD-AF22-1BB5225F23F5}"/>
                </c:ext>
              </c:extLst>
            </c:dLbl>
            <c:dLbl>
              <c:idx val="4"/>
              <c:tx>
                <c:strRef>
                  <c:f>Daten_Diagramme!$G$18</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{16F1D3C4-DDBE-450B-AFC5-143FA327AA92}</c15:txfldGUID>
                      <c15:f>Daten_Diagramme!$G$18</c15:f>
                      <c15:dlblFieldTableCache>
                        <c:ptCount val="1"/>
                      </c15:dlblFieldTableCache>
                    </c15:dlblFTEntry>
                  </c15:dlblFieldTable>
                  <c15:showDataLabelsRange val="0"/>
                </c:ext>
                <c:ext xmlns:c16="http://schemas.microsoft.com/office/drawing/2014/chart" uri="{C3380CC4-5D6E-409C-BE32-E72D297353CC}">
                  <c16:uniqueId val="{00000025-12BE-4DFD-AF22-1BB5225F23F5}"/>
                </c:ext>
              </c:extLst>
            </c:dLbl>
            <c:dLbl>
              <c:idx val="5"/>
              <c:tx>
                <c:strRef>
                  <c:f>Daten_Diagramme!$G$19</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{0A7F0B3A-94A7-4281-A191-F4D779ACE270}</c15:txfldGUID>
                      <c15:f>Daten_Diagramme!$G$19</c15:f>
                      <c15:dlblFieldTableCache>
                        <c:ptCount val="1"/>
                      </c15:dlblFieldTableCache>
                    </c15:dlblFTEntry>
                  </c15:dlblFieldTable>
                  <c15:showDataLabelsRange val="0"/>
                </c:ext>
                <c:ext xmlns:c16="http://schemas.microsoft.com/office/drawing/2014/chart" uri="{C3380CC4-5D6E-409C-BE32-E72D297353CC}">
                  <c16:uniqueId val="{00000026-12BE-4DFD-AF22-1BB5225F23F5}"/>
                </c:ext>
              </c:extLst>
            </c:dLbl>
            <c:dLbl>
              <c:idx val="6"/>
              <c:tx>
                <c:strRef>
                  <c:f>Daten_Diagramme!$G$20</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{FB7D167D-2AD5-4161-82B4-1BB00DE71284}</c15:txfldGUID>
                      <c15:f>Daten_Diagramme!$G$20</c15:f>
                      <c15:dlblFieldTableCache>
                        <c:ptCount val="1"/>
                      </c15:dlblFieldTableCache>
                    </c15:dlblFTEntry>
                  </c15:dlblFieldTable>
                  <c15:showDataLabelsRange val="0"/>
                </c:ext>
                <c:ext xmlns:c16="http://schemas.microsoft.com/office/drawing/2014/chart" uri="{C3380CC4-5D6E-409C-BE32-E72D297353CC}">
                  <c16:uniqueId val="{00000027-12BE-4DFD-AF22-1BB5225F23F5}"/>
                </c:ext>
              </c:extLst>
            </c:dLbl>
            <c:dLbl>
              <c:idx val="7"/>
              <c:tx>
                <c:strRef>
                  <c:f>Daten_Diagramme!$G$21</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{A8F43801-130B-4C50-BF75-9C37773BCFBC}</c15:txfldGUID>
                      <c15:f>Daten_Diagramme!$G$21</c15:f>
                      <c15:dlblFieldTableCache>
                        <c:ptCount val="1"/>
                      </c15:dlblFieldTableCache>
                    </c15:dlblFTEntry>
                  </c15:dlblFieldTable>
                  <c15:showDataLabelsRange val="0"/>
                </c:ext>
                <c:ext xmlns:c16="http://schemas.microsoft.com/office/drawing/2014/chart" uri="{C3380CC4-5D6E-409C-BE32-E72D297353CC}">
                  <c16:uniqueId val="{00000028-12BE-4DFD-AF22-1BB5225F23F5}"/>
                </c:ext>
              </c:extLst>
            </c:dLbl>
            <c:dLbl>
              <c:idx val="8"/>
              <c:tx>
                <c:strRef>
                  <c:f>Daten_Diagramme!$G$22</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{8C2EDAE8-1796-43F6-B723-A82F818DE477}</c15:txfldGUID>
                      <c15:f>Daten_Diagramme!$G$22</c15:f>
                      <c15:dlblFieldTableCache>
                        <c:ptCount val="1"/>
                      </c15:dlblFieldTableCache>
                    </c15:dlblFTEntry>
                  </c15:dlblFieldTable>
                  <c15:showDataLabelsRange val="0"/>
                </c:ext>
                <c:ext xmlns:c16="http://schemas.microsoft.com/office/drawing/2014/chart" uri="{C3380CC4-5D6E-409C-BE32-E72D297353CC}">
                  <c16:uniqueId val="{00000029-12BE-4DFD-AF22-1BB5225F23F5}"/>
                </c:ext>
              </c:extLst>
            </c:dLbl>
            <c:dLbl>
              <c:idx val="9"/>
              <c:tx>
                <c:strRef>
                  <c:f>Daten_Diagramme!$G$23</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{9D26F408-7BFB-47FA-963F-9FCA38AC9818}</c15:txfldGUID>
                      <c15:f>Daten_Diagramme!$G$23</c15:f>
                      <c15:dlblFieldTableCache>
                        <c:ptCount val="1"/>
                      </c15:dlblFieldTableCache>
                    </c15:dlblFTEntry>
                  </c15:dlblFieldTable>
                  <c15:showDataLabelsRange val="0"/>
                </c:ext>
                <c:ext xmlns:c16="http://schemas.microsoft.com/office/drawing/2014/chart" uri="{C3380CC4-5D6E-409C-BE32-E72D297353CC}">
                  <c16:uniqueId val="{0000002A-12BE-4DFD-AF22-1BB5225F23F5}"/>
                </c:ext>
              </c:extLst>
            </c:dLbl>
            <c:dLbl>
              <c:idx val="10"/>
              <c:tx>
                <c:strRef>
                  <c:f>Daten_Diagramme!$G$24</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{434167CD-BE44-4680-AA45-E61597284F7B}</c15:txfldGUID>
                      <c15:f>Daten_Diagramme!$G$24</c15:f>
                      <c15:dlblFieldTableCache>
                        <c:ptCount val="1"/>
                      </c15:dlblFieldTableCache>
                    </c15:dlblFTEntry>
                  </c15:dlblFieldTable>
                  <c15:showDataLabelsRange val="0"/>
                </c:ext>
                <c:ext xmlns:c16="http://schemas.microsoft.com/office/drawing/2014/chart" uri="{C3380CC4-5D6E-409C-BE32-E72D297353CC}">
                  <c16:uniqueId val="{0000002B-12BE-4DFD-AF22-1BB5225F23F5}"/>
                </c:ext>
              </c:extLst>
            </c:dLbl>
            <c:dLbl>
              <c:idx val="11"/>
              <c:tx>
                <c:strRef>
                  <c:f>Daten_Diagramme!$G$25</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{75BE033A-7309-42A2-AAEC-23D83CE15075}</c15:txfldGUID>
                      <c15:f>Daten_Diagramme!$G$25</c15:f>
                      <c15:dlblFieldTableCache>
                        <c:ptCount val="1"/>
                      </c15:dlblFieldTableCache>
                    </c15:dlblFTEntry>
                  </c15:dlblFieldTable>
                  <c15:showDataLabelsRange val="0"/>
                </c:ext>
                <c:ext xmlns:c16="http://schemas.microsoft.com/office/drawing/2014/chart" uri="{C3380CC4-5D6E-409C-BE32-E72D297353CC}">
                  <c16:uniqueId val="{0000002C-12BE-4DFD-AF22-1BB5225F23F5}"/>
                </c:ext>
              </c:extLst>
            </c:dLbl>
            <c:dLbl>
              <c:idx val="12"/>
              <c:tx>
                <c:strRef>
                  <c:f>Daten_Diagramme!$G$26</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{59820441-FC2A-4577-850F-3A94CF5C3D75}</c15:txfldGUID>
                      <c15:f>Daten_Diagramme!$G$26</c15:f>
                      <c15:dlblFieldTableCache>
                        <c:ptCount val="1"/>
                      </c15:dlblFieldTableCache>
                    </c15:dlblFTEntry>
                  </c15:dlblFieldTable>
                  <c15:showDataLabelsRange val="0"/>
                </c:ext>
                <c:ext xmlns:c16="http://schemas.microsoft.com/office/drawing/2014/chart" uri="{C3380CC4-5D6E-409C-BE32-E72D297353CC}">
                  <c16:uniqueId val="{0000002D-12BE-4DFD-AF22-1BB5225F23F5}"/>
                </c:ext>
              </c:extLst>
            </c:dLbl>
            <c:dLbl>
              <c:idx val="13"/>
              <c:tx>
                <c:strRef>
                  <c:f>Daten_Diagramme!$G$27</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{B9E952DE-1215-4ED4-9BA0-013C8EED2498}</c15:txfldGUID>
                      <c15:f>Daten_Diagramme!$G$27</c15:f>
                      <c15:dlblFieldTableCache>
                        <c:ptCount val="1"/>
                      </c15:dlblFieldTableCache>
                    </c15:dlblFTEntry>
                  </c15:dlblFieldTable>
                  <c15:showDataLabelsRange val="0"/>
                </c:ext>
                <c:ext xmlns:c16="http://schemas.microsoft.com/office/drawing/2014/chart" uri="{C3380CC4-5D6E-409C-BE32-E72D297353CC}">
                  <c16:uniqueId val="{0000002E-12BE-4DFD-AF22-1BB5225F23F5}"/>
                </c:ext>
              </c:extLst>
            </c:dLbl>
            <c:dLbl>
              <c:idx val="14"/>
              <c:tx>
                <c:strRef>
                  <c:f>Daten_Diagramme!$G$28</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{0AF3CE69-C1AC-476B-B2C9-66E05709E190}</c15:txfldGUID>
                      <c15:f>Daten_Diagramme!$G$28</c15:f>
                      <c15:dlblFieldTableCache>
                        <c:ptCount val="1"/>
                      </c15:dlblFieldTableCache>
                    </c15:dlblFTEntry>
                  </c15:dlblFieldTable>
                  <c15:showDataLabelsRange val="0"/>
                </c:ext>
                <c:ext xmlns:c16="http://schemas.microsoft.com/office/drawing/2014/chart" uri="{C3380CC4-5D6E-409C-BE32-E72D297353CC}">
                  <c16:uniqueId val="{0000002F-12BE-4DFD-AF22-1BB5225F23F5}"/>
                </c:ext>
              </c:extLst>
            </c:dLbl>
            <c:dLbl>
              <c:idx val="15"/>
              <c:tx>
                <c:strRef>
                  <c:f>Daten_Diagramme!$G$29</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{59C3B28F-1CF4-43BF-AC5B-9307D208292E}</c15:txfldGUID>
                      <c15:f>Daten_Diagramme!$G$29</c15:f>
                      <c15:dlblFieldTableCache>
                        <c:ptCount val="1"/>
                      </c15:dlblFieldTableCache>
                    </c15:dlblFTEntry>
                  </c15:dlblFieldTable>
                  <c15:showDataLabelsRange val="0"/>
                </c:ext>
                <c:ext xmlns:c16="http://schemas.microsoft.com/office/drawing/2014/chart" uri="{C3380CC4-5D6E-409C-BE32-E72D297353CC}">
                  <c16:uniqueId val="{00000030-12BE-4DFD-AF22-1BB5225F23F5}"/>
                </c:ext>
              </c:extLst>
            </c:dLbl>
            <c:dLbl>
              <c:idx val="16"/>
              <c:tx>
                <c:strRef>
                  <c:f>Daten_Diagramme!$G$30</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{FD5D9088-E3D0-4E2A-840A-B916231CA244}</c15:txfldGUID>
                      <c15:f>Daten_Diagramme!$G$30</c15:f>
                      <c15:dlblFieldTableCache>
                        <c:ptCount val="1"/>
                      </c15:dlblFieldTableCache>
                    </c15:dlblFTEntry>
                  </c15:dlblFieldTable>
                  <c15:showDataLabelsRange val="0"/>
                </c:ext>
                <c:ext xmlns:c16="http://schemas.microsoft.com/office/drawing/2014/chart" uri="{C3380CC4-5D6E-409C-BE32-E72D297353CC}">
                  <c16:uniqueId val="{00000031-12BE-4DFD-AF22-1BB5225F23F5}"/>
                </c:ext>
              </c:extLst>
            </c:dLbl>
            <c:dLbl>
              <c:idx val="17"/>
              <c:tx>
                <c:strRef>
                  <c:f>Daten_Diagramme!$G$31</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{C6C1B8EE-067B-4E76-A549-760EED51B3AC}</c15:txfldGUID>
                      <c15:f>Daten_Diagramme!$G$31</c15:f>
                      <c15:dlblFieldTableCache>
                        <c:ptCount val="1"/>
                      </c15:dlblFieldTableCache>
                    </c15:dlblFTEntry>
                  </c15:dlblFieldTable>
                  <c15:showDataLabelsRange val="0"/>
                </c:ext>
                <c:ext xmlns:c16="http://schemas.microsoft.com/office/drawing/2014/chart" uri="{C3380CC4-5D6E-409C-BE32-E72D297353CC}">
                  <c16:uniqueId val="{00000032-12BE-4DFD-AF22-1BB5225F23F5}"/>
                </c:ext>
              </c:extLst>
            </c:dLbl>
            <c:dLbl>
              <c:idx val="18"/>
              <c:tx>
                <c:strRef>
                  <c:f>Daten_Diagramme!$G$32</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{ED824425-C7BF-4378-8869-EF5305908239}</c15:txfldGUID>
                      <c15:f>Daten_Diagramme!$G$32</c15:f>
                      <c15:dlblFieldTableCache>
                        <c:ptCount val="1"/>
                      </c15:dlblFieldTableCache>
                    </c15:dlblFTEntry>
                  </c15:dlblFieldTable>
                  <c15:showDataLabelsRange val="0"/>
                </c:ext>
                <c:ext xmlns:c16="http://schemas.microsoft.com/office/drawing/2014/chart" uri="{C3380CC4-5D6E-409C-BE32-E72D297353CC}">
                  <c16:uniqueId val="{00000033-12BE-4DFD-AF22-1BB5225F23F5}"/>
                </c:ext>
              </c:extLst>
            </c:dLbl>
            <c:dLbl>
              <c:idx val="19"/>
              <c:tx>
                <c:strRef>
                  <c:f>Daten_Diagramme!$G$33</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{35160D6B-0310-4855-963C-E72EE6517A15}</c15:txfldGUID>
                      <c15:f>Daten_Diagramme!$G$33</c15:f>
                      <c15:dlblFieldTableCache>
                        <c:ptCount val="1"/>
                      </c15:dlblFieldTableCache>
                    </c15:dlblFTEntry>
                  </c15:dlblFieldTable>
                  <c15:showDataLabelsRange val="0"/>
                </c:ext>
                <c:ext xmlns:c16="http://schemas.microsoft.com/office/drawing/2014/chart" uri="{C3380CC4-5D6E-409C-BE32-E72D297353CC}">
                  <c16:uniqueId val="{00000034-12BE-4DFD-AF22-1BB5225F23F5}"/>
                </c:ext>
              </c:extLst>
            </c:dLbl>
            <c:dLbl>
              <c:idx val="20"/>
              <c:tx>
                <c:strRef>
                  <c:f>Daten_Diagramme!$G$34</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{3E9545DD-261C-4D29-BFA0-2771DE8F04B4}</c15:txfldGUID>
                      <c15:f>Daten_Diagramme!$G$34</c15:f>
                      <c15:dlblFieldTableCache>
                        <c:ptCount val="1"/>
                      </c15:dlblFieldTableCache>
                    </c15:dlblFTEntry>
                  </c15:dlblFieldTable>
                  <c15:showDataLabelsRange val="0"/>
                </c:ext>
                <c:ext xmlns:c16="http://schemas.microsoft.com/office/drawing/2014/chart" uri="{C3380CC4-5D6E-409C-BE32-E72D297353CC}">
                  <c16:uniqueId val="{00000035-12BE-4DFD-AF22-1BB5225F23F5}"/>
                </c:ext>
              </c:extLst>
            </c:dLbl>
            <c:dLbl>
              <c:idx val="21"/>
              <c:tx>
                <c:strRef>
                  <c:f>Daten_Diagramme!$G$35</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{79807625-7531-4FCD-9109-D4F1D8BE86C3}</c15:txfldGUID>
                      <c15:f>Daten_Diagramme!$G$35</c15:f>
                      <c15:dlblFieldTableCache>
                        <c:ptCount val="1"/>
                      </c15:dlblFieldTableCache>
                    </c15:dlblFTEntry>
                  </c15:dlblFieldTable>
                  <c15:showDataLabelsRange val="0"/>
                </c:ext>
                <c:ext xmlns:c16="http://schemas.microsoft.com/office/drawing/2014/chart" uri="{C3380CC4-5D6E-409C-BE32-E72D297353CC}">
                  <c16:uniqueId val="{00000036-12BE-4DFD-AF22-1BB5225F23F5}"/>
                </c:ext>
              </c:extLst>
            </c:dLbl>
            <c:dLbl>
              <c:idx val="22"/>
              <c:tx>
                <c:strRef>
                  <c:f>Daten_Diagramme!$G$36</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{DE56D588-5479-4D40-9124-2926CEA27D62}</c15:txfldGUID>
                      <c15:f>Daten_Diagramme!$G$36</c15:f>
                      <c15:dlblFieldTableCache>
                        <c:ptCount val="1"/>
                      </c15:dlblFieldTableCache>
                    </c15:dlblFTEntry>
                  </c15:dlblFieldTable>
                  <c15:showDataLabelsRange val="0"/>
                </c:ext>
                <c:ext xmlns:c16="http://schemas.microsoft.com/office/drawing/2014/chart" uri="{C3380CC4-5D6E-409C-BE32-E72D297353CC}">
                  <c16:uniqueId val="{00000037-12BE-4DFD-AF22-1BB5225F23F5}"/>
                </c:ext>
              </c:extLst>
            </c:dLbl>
            <c:dLbl>
              <c:idx val="23"/>
              <c:tx>
                <c:strRef>
                  <c:f>Daten_Diagramme!$G$37</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{B9BEF896-23B0-4616-B6A8-97B610CF0330}</c15:txfldGUID>
                      <c15:f>Daten_Diagramme!$G$37</c15:f>
                      <c15:dlblFieldTableCache>
                        <c:ptCount val="1"/>
                      </c15:dlblFieldTableCache>
                    </c15:dlblFTEntry>
                  </c15:dlblFieldTable>
                  <c15:showDataLabelsRange val="0"/>
                </c:ext>
                <c:ext xmlns:c16="http://schemas.microsoft.com/office/drawing/2014/chart" uri="{C3380CC4-5D6E-409C-BE32-E72D297353CC}">
                  <c16:uniqueId val="{00000038-12BE-4DFD-AF22-1BB5225F23F5}"/>
                </c:ext>
              </c:extLst>
            </c:dLbl>
            <c:dLbl>
              <c:idx val="24"/>
              <c:tx>
                <c:strRef>
                  <c:f>Daten_Diagramme!$G$38</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{45E580AE-B051-4E2C-A859-32AA0B1A31CA}</c15:txfldGUID>
                      <c15:f>Daten_Diagramme!$G$38</c15:f>
                      <c15:dlblFieldTableCache>
                        <c:ptCount val="1"/>
                      </c15:dlblFieldTableCache>
                    </c15:dlblFTEntry>
                  </c15:dlblFieldTable>
                  <c15:showDataLabelsRange val="0"/>
                </c:ext>
                <c:ext xmlns:c16="http://schemas.microsoft.com/office/drawing/2014/chart" uri="{C3380CC4-5D6E-409C-BE32-E72D297353CC}">
                  <c16:uniqueId val="{00000039-12BE-4DFD-AF22-1BB5225F23F5}"/>
                </c:ext>
              </c:extLst>
            </c:dLbl>
            <c:dLbl>
              <c:idx val="25"/>
              <c:tx>
                <c:strRef>
                  <c:f>Daten_Diagramme!$G$39</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{D9BE412A-A411-4888-9428-C6B3046DA76F}</c15:txfldGUID>
                      <c15:f>Daten_Diagramme!$G$39</c15:f>
                      <c15:dlblFieldTableCache>
                        <c:ptCount val="1"/>
                      </c15:dlblFieldTableCache>
                    </c15:dlblFTEntry>
                  </c15:dlblFieldTable>
                  <c15:showDataLabelsRange val="0"/>
                </c:ext>
                <c:ext xmlns:c16="http://schemas.microsoft.com/office/drawing/2014/chart" uri="{C3380CC4-5D6E-409C-BE32-E72D297353CC}">
                  <c16:uniqueId val="{0000003A-12BE-4DFD-AF22-1BB5225F23F5}"/>
                </c:ext>
              </c:extLst>
            </c:dLbl>
            <c:dLbl>
              <c:idx val="26"/>
              <c:tx>
                <c:strRef>
                  <c:f>Daten_Diagramme!$G$41</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{3A7ED780-2F29-434F-9B30-C841D5067405}</c15:txfldGUID>
                      <c15:f>Daten_Diagramme!$G$41</c15:f>
                      <c15:dlblFieldTableCache>
                        <c:ptCount val="1"/>
                      </c15:dlblFieldTableCache>
                    </c15:dlblFTEntry>
                  </c15:dlblFieldTable>
                  <c15:showDataLabelsRange val="0"/>
                </c:ext>
                <c:ext xmlns:c16="http://schemas.microsoft.com/office/drawing/2014/chart" uri="{C3380CC4-5D6E-409C-BE32-E72D297353CC}">
                  <c16:uniqueId val="{0000003B-12BE-4DFD-AF22-1BB5225F23F5}"/>
                </c:ext>
              </c:extLst>
            </c:dLbl>
            <c:dLbl>
              <c:idx val="27"/>
              <c:tx>
                <c:strRef>
                  <c:f>Daten_Diagramme!$G$42</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{ADAF94DD-BF87-486F-ABBC-98EEBE523104}</c15:txfldGUID>
                      <c15:f>Daten_Diagramme!$G$42</c15:f>
                      <c15:dlblFieldTableCache>
                        <c:ptCount val="1"/>
                      </c15:dlblFieldTableCache>
                    </c15:dlblFTEntry>
                  </c15:dlblFieldTable>
                  <c15:showDataLabelsRange val="0"/>
                </c:ext>
                <c:ext xmlns:c16="http://schemas.microsoft.com/office/drawing/2014/chart" uri="{C3380CC4-5D6E-409C-BE32-E72D297353CC}">
                  <c16:uniqueId val="{0000003C-12BE-4DFD-AF22-1BB5225F23F5}"/>
                </c:ext>
              </c:extLst>
            </c:dLbl>
            <c:dLbl>
              <c:idx val="28"/>
              <c:tx>
                <c:strRef>
                  <c:f>Daten_Diagramme!$G$43</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{17BAC967-7772-4E53-8447-86986FC702C0}</c15:txfldGUID>
                      <c15:f>Daten_Diagramme!$G$43</c15:f>
                      <c15:dlblFieldTableCache>
                        <c:ptCount val="1"/>
                      </c15:dlblFieldTableCache>
                    </c15:dlblFTEntry>
                  </c15:dlblFieldTable>
                  <c15:showDataLabelsRange val="0"/>
                </c:ext>
                <c:ext xmlns:c16="http://schemas.microsoft.com/office/drawing/2014/chart" uri="{C3380CC4-5D6E-409C-BE32-E72D297353CC}">
                  <c16:uniqueId val="{0000003D-12BE-4DFD-AF22-1BB5225F23F5}"/>
                </c:ext>
              </c:extLst>
            </c:dLbl>
            <c:dLbl>
              <c:idx val="29"/>
              <c:tx>
                <c:strRef>
                  <c:f>Daten_Diagramme!$G$44</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{5F2377A4-5579-4BAD-B757-A8641EA5CBC3}</c15:txfldGUID>
                      <c15:f>Daten_Diagramme!$G$44</c15:f>
                      <c15:dlblFieldTableCache>
                        <c:ptCount val="1"/>
                      </c15:dlblFieldTableCache>
                    </c15:dlblFTEntry>
                  </c15:dlblFieldTable>
                  <c15:showDataLabelsRange val="0"/>
                </c:ext>
                <c:ext xmlns:c16="http://schemas.microsoft.com/office/drawing/2014/chart" uri="{C3380CC4-5D6E-409C-BE32-E72D297353CC}">
                  <c16:uniqueId val="{0000003E-12BE-4DFD-AF22-1BB5225F23F5}"/>
                </c:ext>
              </c:extLst>
            </c:dLbl>
            <c:dLbl>
              <c:idx val="30"/>
              <c:tx>
                <c:strRef>
                  <c:f>Daten_Diagramme!$G$45</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{D3159178-807D-4178-B76D-B681E7C3F9AE}</c15:txfldGUID>
                      <c15:f>Daten_Diagramme!$G$45</c15:f>
                      <c15:dlblFieldTableCache>
                        <c:ptCount val="1"/>
                      </c15:dlblFieldTableCache>
                    </c15:dlblFTEntry>
                  </c15:dlblFieldTable>
                  <c15:showDataLabelsRange val="0"/>
                </c:ext>
                <c:ext xmlns:c16="http://schemas.microsoft.com/office/drawing/2014/chart" uri="{C3380CC4-5D6E-409C-BE32-E72D297353CC}">
                  <c16:uniqueId val="{0000003F-12BE-4DFD-AF22-1BB5225F23F5}"/>
                </c:ext>
              </c:extLst>
            </c:dLbl>
            <c:dLbl>
              <c:idx val="31"/>
              <c:tx>
                <c:strRef>
                  <c:f>Daten_Diagramme!$G$46</c:f>
                  <c:strCache>
                    <c:ptCount val="1"/>
                  </c:strCache>
                </c:strRef>
              </c:tx>
              <c:showLegendKey val="0"/>
              <c:showVal val="0"/>
              <c:showCatName val="0"/>
              <c:showSerName val="0"/>
              <c:showPercent val="0"/>
              <c:showBubbleSize val="0"/>
              <c:extLst>
                <c:ext xmlns:c15="http://schemas.microsoft.com/office/drawing/2012/chart" uri="{CE6537A1-D6FC-4f65-9D91-7224C49458BB}">
                  <c15:dlblFieldTable>
                    <c15:dlblFTEntry>
                      <c15:txfldGUID>{DA825911-AF8A-4054-8DD8-43EE275C357D}</c15:txfldGUID>
                      <c15:f>Daten_Diagramme!$G$46</c15:f>
                      <c15:dlblFieldTableCache>
                        <c:ptCount val="1"/>
                      </c15:dlblFieldTableCache>
                    </c15:dlblFTEntry>
                  </c15:dlblFieldTable>
                  <c15:showDataLabelsRange val="0"/>
                </c:ext>
                <c:ext xmlns:c16="http://schemas.microsoft.com/office/drawing/2014/chart" uri="{C3380CC4-5D6E-409C-BE32-E72D297353CC}">
                  <c16:uniqueId val="{00000040-12BE-4DFD-AF22-1BB5225F23F5}"/>
                </c:ext>
              </c:extLst>
            </c:dLbl>
            <c:spPr>
              <a:noFill/>
              <a:ln w="25400">
                <a:noFill/>
              </a:ln>
            </c:spPr>
            <c:txPr>
              <a:bodyPr/>
              <a:lstStyle/>
              <a:p>
                <a:pPr>
                  <a:defRPr sz="800" b="0" i="0" u="none" strike="noStrike" baseline="0">
                    <a:solidFill>
                      <a:srgbClr val="000000"/>
                    </a:solidFill>
                    <a:latin typeface="Arial"/>
                    <a:ea typeface="Arial"/>
                    <a:cs typeface="Arial"/>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Daten_Diagramme!$I$14:$I$40</c:f>
              <c:numCache>
                <c:formatCode>0.0</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4">
                  <c:v>0</c:v>
                </c:pt>
                <c:pt idx="25">
                  <c:v>0</c:v>
                </c:pt>
                <c:pt idx="26">
                  <c:v>0</c:v>
                </c:pt>
              </c:numCache>
            </c:numRef>
          </c:val>
          <c:extLst>
            <c:ext xmlns:c16="http://schemas.microsoft.com/office/drawing/2014/chart" uri="{C3380CC4-5D6E-409C-BE32-E72D297353CC}">
              <c16:uniqueId val="{00000041-12BE-4DFD-AF22-1BB5225F23F5}"/>
            </c:ext>
          </c:extLst>
        </c:ser>
        <c:dLbls>
          <c:showLegendKey val="0"/>
          <c:showVal val="1"/>
          <c:showCatName val="0"/>
          <c:showSerName val="0"/>
          <c:showPercent val="0"/>
          <c:showBubbleSize val="0"/>
        </c:dLbls>
        <c:gapWidth val="100"/>
        <c:overlap val="100"/>
        <c:axId val="297293264"/>
        <c:axId val="297631720"/>
      </c:barChart>
      <c:scatterChart>
        <c:scatterStyle val="lineMarker"/>
        <c:varyColors val="0"/>
        <c:ser>
          <c:idx val="2"/>
          <c:order val="2"/>
          <c:spPr>
            <a:ln w="28575">
              <a:noFill/>
            </a:ln>
          </c:spPr>
          <c:marker>
            <c:symbol val="picture"/>
            <c:spPr>
              <a:blipFill dpi="0" rotWithShape="0">
                <a:blip xmlns:r="http://schemas.openxmlformats.org/officeDocument/2006/relationships" r:embed="rId1"/>
                <a:srcRect/>
                <a:stretch>
                  <a:fillRect/>
                </a:stretch>
              </a:blipFill>
              <a:ln w="25400">
                <a:noFill/>
              </a:ln>
            </c:spPr>
          </c:marker>
          <c:dLbls>
            <c:delete val="1"/>
          </c:dLbls>
          <c:xVal>
            <c:numRef>
              <c:f>Daten_Diagramme!$M$14:$M$40</c:f>
              <c:numCache>
                <c:formatCode>General</c:formatCode>
                <c:ptCount val="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4">
                  <c:v>#N/A</c:v>
                </c:pt>
                <c:pt idx="25">
                  <c:v>#N/A</c:v>
                </c:pt>
                <c:pt idx="26">
                  <c:v>#N/A</c:v>
                </c:pt>
              </c:numCache>
            </c:numRef>
          </c:xVal>
          <c:yVal>
            <c:numRef>
              <c:f>Daten_Diagramme!$L$14:$L$40</c:f>
              <c:numCache>
                <c:formatCode>General</c:formatCode>
                <c:ptCount val="2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4">
                  <c:v>#N/A</c:v>
                </c:pt>
                <c:pt idx="25">
                  <c:v>#N/A</c:v>
                </c:pt>
                <c:pt idx="26">
                  <c:v>#N/A</c:v>
                </c:pt>
              </c:numCache>
            </c:numRef>
          </c:yVal>
          <c:smooth val="0"/>
          <c:extLst>
            <c:ext xmlns:c16="http://schemas.microsoft.com/office/drawing/2014/chart" uri="{C3380CC4-5D6E-409C-BE32-E72D297353CC}">
              <c16:uniqueId val="{00000042-12BE-4DFD-AF22-1BB5225F23F5}"/>
            </c:ext>
          </c:extLst>
        </c:ser>
        <c:dLbls>
          <c:showLegendKey val="0"/>
          <c:showVal val="1"/>
          <c:showCatName val="0"/>
          <c:showSerName val="0"/>
          <c:showPercent val="0"/>
          <c:showBubbleSize val="0"/>
        </c:dLbls>
        <c:axId val="297632112"/>
        <c:axId val="297632504"/>
      </c:scatterChart>
      <c:catAx>
        <c:axId val="297293264"/>
        <c:scaling>
          <c:orientation val="maxMin"/>
        </c:scaling>
        <c:delete val="0"/>
        <c:axPos val="l"/>
        <c:majorTickMark val="none"/>
        <c:minorTickMark val="none"/>
        <c:tickLblPos val="none"/>
        <c:spPr>
          <a:ln w="1270">
            <a:solidFill>
              <a:srgbClr val="000000"/>
            </a:solidFill>
            <a:prstDash val="solid"/>
          </a:ln>
        </c:spPr>
        <c:crossAx val="297631720"/>
        <c:crosses val="autoZero"/>
        <c:auto val="1"/>
        <c:lblAlgn val="ctr"/>
        <c:lblOffset val="100"/>
        <c:tickMarkSkip val="1"/>
        <c:noMultiLvlLbl val="0"/>
      </c:catAx>
      <c:valAx>
        <c:axId val="297631720"/>
        <c:scaling>
          <c:orientation val="minMax"/>
          <c:max val="50"/>
          <c:min val="-50"/>
        </c:scaling>
        <c:delete val="1"/>
        <c:axPos val="t"/>
        <c:numFmt formatCode="0.0" sourceLinked="1"/>
        <c:majorTickMark val="out"/>
        <c:minorTickMark val="none"/>
        <c:tickLblPos val="none"/>
        <c:crossAx val="297293264"/>
        <c:crosses val="autoZero"/>
        <c:crossBetween val="between"/>
        <c:majorUnit val="10"/>
        <c:minorUnit val="5"/>
      </c:valAx>
      <c:valAx>
        <c:axId val="297632112"/>
        <c:scaling>
          <c:orientation val="minMax"/>
        </c:scaling>
        <c:delete val="1"/>
        <c:axPos val="b"/>
        <c:numFmt formatCode="General" sourceLinked="1"/>
        <c:majorTickMark val="out"/>
        <c:minorTickMark val="none"/>
        <c:tickLblPos val="none"/>
        <c:crossAx val="297632504"/>
        <c:crosses val="max"/>
        <c:crossBetween val="midCat"/>
      </c:valAx>
      <c:valAx>
        <c:axId val="297632504"/>
        <c:scaling>
          <c:orientation val="maxMin"/>
          <c:max val="320"/>
          <c:min val="0"/>
        </c:scaling>
        <c:delete val="1"/>
        <c:axPos val="r"/>
        <c:numFmt formatCode="General" sourceLinked="1"/>
        <c:majorTickMark val="out"/>
        <c:minorTickMark val="none"/>
        <c:tickLblPos val="none"/>
        <c:crossAx val="297632112"/>
        <c:crosses val="max"/>
        <c:crossBetween val="midCat"/>
        <c:majorUnit val="10"/>
        <c:minorUnit val="5"/>
      </c:valAx>
      <c:spPr>
        <a:noFill/>
        <a:ln w="25400">
          <a:noFill/>
        </a:ln>
      </c:spPr>
    </c:plotArea>
    <c:plotVisOnly val="1"/>
    <c:dispBlanksAs val="gap"/>
    <c:showDLblsOverMax val="0"/>
  </c:chart>
  <c:spPr>
    <a:noFill/>
    <a:ln w="9525">
      <a:noFill/>
    </a:ln>
  </c:spPr>
  <c:txPr>
    <a:bodyPr/>
    <a:lstStyle/>
    <a:p>
      <a:pPr>
        <a:defRPr sz="500" b="0" i="0" u="none" strike="noStrike" baseline="0">
          <a:solidFill>
            <a:srgbClr val="000000"/>
          </a:solidFill>
          <a:latin typeface="Arial"/>
          <a:ea typeface="Arial"/>
          <a:cs typeface="Arial"/>
        </a:defRPr>
      </a:pPr>
      <a:endParaRPr lang="de-DE"/>
    </a:p>
  </c:txPr>
  <c:printSettings>
    <c:headerFooter alignWithMargins="0"/>
    <c:pageMargins b="0.98425196899999956" l="0.78740157499999996" r="0.78740157499999996" t="0.98425196899999956" header="0.49212598450000788" footer="0.49212598450000788"/>
    <c:pageSetup paperSize="9"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5400">
              <a:solidFill>
                <a:srgbClr val="000000"/>
              </a:solidFill>
              <a:prstDash val="solid"/>
            </a:ln>
          </c:spPr>
          <c:marker>
            <c:symbol val="none"/>
          </c:marker>
          <c:dLbls>
            <c:dLbl>
              <c:idx val="0"/>
              <c:tx>
                <c:rich>
                  <a:bodyPr/>
                  <a:lstStyle/>
                  <a:p>
                    <a:r>
                      <a:rPr lang="de-DE"/>
                      <a:t>#BEZUG!</a:t>
                    </a:r>
                  </a:p>
                </c:rich>
              </c:tx>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94D-499B-A055-1E3876CBC907}"/>
                </c:ext>
              </c:extLst>
            </c:dLbl>
            <c:dLbl>
              <c:idx val="1"/>
              <c:tx>
                <c:rich>
                  <a:bodyPr/>
                  <a:lstStyle/>
                  <a:p>
                    <a:r>
                      <a:rPr lang="de-DE"/>
                      <a:t>#BEZUG!</a:t>
                    </a:r>
                  </a:p>
                </c:rich>
              </c:tx>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194D-499B-A055-1E3876CBC907}"/>
                </c:ext>
              </c:extLst>
            </c:dLbl>
            <c:dLbl>
              <c:idx val="2"/>
              <c:tx>
                <c:rich>
                  <a:bodyPr/>
                  <a:lstStyle/>
                  <a:p>
                    <a:r>
                      <a:rPr lang="de-DE"/>
                      <a:t>#BEZUG!</a:t>
                    </a:r>
                  </a:p>
                </c:rich>
              </c:tx>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194D-499B-A055-1E3876CBC907}"/>
                </c:ext>
              </c:extLst>
            </c:dLbl>
            <c:dLbl>
              <c:idx val="3"/>
              <c:tx>
                <c:rich>
                  <a:bodyPr/>
                  <a:lstStyle/>
                  <a:p>
                    <a:r>
                      <a:rPr lang="de-DE"/>
                      <a:t>#BEZUG!</a:t>
                    </a:r>
                  </a:p>
                </c:rich>
              </c:tx>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194D-499B-A055-1E3876CBC907}"/>
                </c:ext>
              </c:extLst>
            </c:dLbl>
            <c:dLbl>
              <c:idx val="4"/>
              <c:tx>
                <c:rich>
                  <a:bodyPr/>
                  <a:lstStyle/>
                  <a:p>
                    <a:r>
                      <a:rPr lang="de-DE"/>
                      <a:t>#BEZUG!</a:t>
                    </a:r>
                  </a:p>
                </c:rich>
              </c:tx>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194D-499B-A055-1E3876CBC907}"/>
                </c:ext>
              </c:extLst>
            </c:dLbl>
            <c:dLbl>
              <c:idx val="5"/>
              <c:tx>
                <c:rich>
                  <a:bodyPr/>
                  <a:lstStyle/>
                  <a:p>
                    <a:r>
                      <a:rPr lang="de-DE"/>
                      <a:t>#BEZUG!</a:t>
                    </a:r>
                  </a:p>
                </c:rich>
              </c:tx>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194D-499B-A055-1E3876CBC907}"/>
                </c:ext>
              </c:extLst>
            </c:dLbl>
            <c:dLbl>
              <c:idx val="6"/>
              <c:tx>
                <c:rich>
                  <a:bodyPr/>
                  <a:lstStyle/>
                  <a:p>
                    <a:r>
                      <a:rPr lang="de-DE"/>
                      <a:t>#BEZUG!</a:t>
                    </a:r>
                  </a:p>
                </c:rich>
              </c:tx>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194D-499B-A055-1E3876CBC907}"/>
                </c:ext>
              </c:extLst>
            </c:dLbl>
            <c:dLbl>
              <c:idx val="7"/>
              <c:tx>
                <c:rich>
                  <a:bodyPr/>
                  <a:lstStyle/>
                  <a:p>
                    <a:r>
                      <a:rPr lang="de-DE"/>
                      <a:t>#BEZUG!</a:t>
                    </a:r>
                  </a:p>
                </c:rich>
              </c:tx>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194D-499B-A055-1E3876CBC907}"/>
                </c:ext>
              </c:extLst>
            </c:dLbl>
            <c:dLbl>
              <c:idx val="8"/>
              <c:tx>
                <c:rich>
                  <a:bodyPr/>
                  <a:lstStyle/>
                  <a:p>
                    <a:r>
                      <a:rPr lang="de-DE"/>
                      <a:t>#BEZUG!</a:t>
                    </a:r>
                  </a:p>
                </c:rich>
              </c:tx>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194D-499B-A055-1E3876CBC907}"/>
                </c:ext>
              </c:extLst>
            </c:dLbl>
            <c:dLbl>
              <c:idx val="9"/>
              <c:tx>
                <c:rich>
                  <a:bodyPr/>
                  <a:lstStyle/>
                  <a:p>
                    <a:r>
                      <a:rPr lang="de-DE"/>
                      <a:t>#BEZUG!</a:t>
                    </a:r>
                  </a:p>
                </c:rich>
              </c:tx>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194D-499B-A055-1E3876CBC907}"/>
                </c:ext>
              </c:extLst>
            </c:dLbl>
            <c:dLbl>
              <c:idx val="10"/>
              <c:tx>
                <c:rich>
                  <a:bodyPr/>
                  <a:lstStyle/>
                  <a:p>
                    <a:r>
                      <a:rPr lang="de-DE"/>
                      <a:t>#BEZUG!</a:t>
                    </a:r>
                  </a:p>
                </c:rich>
              </c:tx>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194D-499B-A055-1E3876CBC907}"/>
                </c:ext>
              </c:extLst>
            </c:dLbl>
            <c:dLbl>
              <c:idx val="11"/>
              <c:tx>
                <c:rich>
                  <a:bodyPr/>
                  <a:lstStyle/>
                  <a:p>
                    <a:r>
                      <a:rPr lang="de-DE"/>
                      <a:t>#BEZUG!</a:t>
                    </a:r>
                  </a:p>
                </c:rich>
              </c:tx>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194D-499B-A055-1E3876CBC907}"/>
                </c:ext>
              </c:extLst>
            </c:dLbl>
            <c:dLbl>
              <c:idx val="12"/>
              <c:tx>
                <c:rich>
                  <a:bodyPr/>
                  <a:lstStyle/>
                  <a:p>
                    <a:r>
                      <a:rPr lang="de-DE"/>
                      <a:t>#BEZUG!</a:t>
                    </a:r>
                  </a:p>
                </c:rich>
              </c:tx>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194D-499B-A055-1E3876CBC907}"/>
                </c:ext>
              </c:extLst>
            </c:dLbl>
            <c:dLbl>
              <c:idx val="13"/>
              <c:tx>
                <c:rich>
                  <a:bodyPr/>
                  <a:lstStyle/>
                  <a:p>
                    <a:r>
                      <a:rPr lang="de-DE"/>
                      <a:t>#BEZUG!</a:t>
                    </a:r>
                  </a:p>
                </c:rich>
              </c:tx>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194D-499B-A055-1E3876CBC907}"/>
                </c:ext>
              </c:extLst>
            </c:dLbl>
            <c:dLbl>
              <c:idx val="14"/>
              <c:tx>
                <c:rich>
                  <a:bodyPr/>
                  <a:lstStyle/>
                  <a:p>
                    <a:r>
                      <a:rPr lang="de-DE"/>
                      <a:t>#BEZUG!</a:t>
                    </a:r>
                  </a:p>
                </c:rich>
              </c:tx>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194D-499B-A055-1E3876CBC907}"/>
                </c:ext>
              </c:extLst>
            </c:dLbl>
            <c:dLbl>
              <c:idx val="15"/>
              <c:tx>
                <c:rich>
                  <a:bodyPr/>
                  <a:lstStyle/>
                  <a:p>
                    <a:r>
                      <a:rPr lang="de-DE"/>
                      <a:t>#BEZUG!</a:t>
                    </a:r>
                  </a:p>
                </c:rich>
              </c:tx>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194D-499B-A055-1E3876CBC907}"/>
                </c:ext>
              </c:extLst>
            </c:dLbl>
            <c:dLbl>
              <c:idx val="16"/>
              <c:tx>
                <c:rich>
                  <a:bodyPr/>
                  <a:lstStyle/>
                  <a:p>
                    <a:r>
                      <a:rPr lang="de-DE"/>
                      <a:t>#BEZUG!</a:t>
                    </a:r>
                  </a:p>
                </c:rich>
              </c:tx>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194D-499B-A055-1E3876CBC907}"/>
                </c:ext>
              </c:extLst>
            </c:dLbl>
            <c:dLbl>
              <c:idx val="17"/>
              <c:tx>
                <c:rich>
                  <a:bodyPr/>
                  <a:lstStyle/>
                  <a:p>
                    <a:r>
                      <a:rPr lang="de-DE"/>
                      <a:t>#BEZUG!</a:t>
                    </a:r>
                  </a:p>
                </c:rich>
              </c:tx>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194D-499B-A055-1E3876CBC907}"/>
                </c:ext>
              </c:extLst>
            </c:dLbl>
            <c:dLbl>
              <c:idx val="18"/>
              <c:tx>
                <c:rich>
                  <a:bodyPr/>
                  <a:lstStyle/>
                  <a:p>
                    <a:r>
                      <a:rPr lang="de-DE"/>
                      <a:t>#BEZUG!</a:t>
                    </a:r>
                  </a:p>
                </c:rich>
              </c:tx>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194D-499B-A055-1E3876CBC907}"/>
                </c:ext>
              </c:extLst>
            </c:dLbl>
            <c:dLbl>
              <c:idx val="19"/>
              <c:tx>
                <c:rich>
                  <a:bodyPr/>
                  <a:lstStyle/>
                  <a:p>
                    <a:r>
                      <a:rPr lang="de-DE"/>
                      <a:t>#BEZUG!</a:t>
                    </a:r>
                  </a:p>
                </c:rich>
              </c:tx>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194D-499B-A055-1E3876CBC907}"/>
                </c:ext>
              </c:extLst>
            </c:dLbl>
            <c:dLbl>
              <c:idx val="20"/>
              <c:tx>
                <c:rich>
                  <a:bodyPr/>
                  <a:lstStyle/>
                  <a:p>
                    <a:r>
                      <a:rPr lang="de-DE"/>
                      <a:t>#BEZUG!</a:t>
                    </a:r>
                  </a:p>
                </c:rich>
              </c:tx>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194D-499B-A055-1E3876CBC907}"/>
                </c:ext>
              </c:extLst>
            </c:dLbl>
            <c:dLbl>
              <c:idx val="21"/>
              <c:tx>
                <c:rich>
                  <a:bodyPr/>
                  <a:lstStyle/>
                  <a:p>
                    <a:r>
                      <a:rPr lang="de-DE"/>
                      <a:t>#BEZUG!</a:t>
                    </a:r>
                  </a:p>
                </c:rich>
              </c:tx>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194D-499B-A055-1E3876CBC907}"/>
                </c:ext>
              </c:extLst>
            </c:dLbl>
            <c:spPr>
              <a:noFill/>
              <a:ln w="25400">
                <a:noFill/>
              </a:ln>
            </c:spPr>
            <c:txPr>
              <a:bodyPr/>
              <a:lstStyle/>
              <a:p>
                <a:pPr>
                  <a:defRPr sz="150" b="0" i="0" u="none" strike="noStrike" baseline="0">
                    <a:solidFill>
                      <a:srgbClr val="000000"/>
                    </a:solidFill>
                    <a:latin typeface="Arial"/>
                    <a:ea typeface="Arial"/>
                    <a:cs typeface="Arial"/>
                  </a:defRPr>
                </a:pPr>
                <a:endParaRPr lang="de-D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smooth val="0"/>
          <c:extLst>
            <c:ext xmlns:c16="http://schemas.microsoft.com/office/drawing/2014/chart" uri="{C3380CC4-5D6E-409C-BE32-E72D297353CC}">
              <c16:uniqueId val="{00000016-194D-499B-A055-1E3876CBC907}"/>
            </c:ext>
          </c:extLst>
        </c:ser>
        <c:ser>
          <c:idx val="2"/>
          <c:order val="1"/>
          <c:spPr>
            <a:ln w="25400">
              <a:solidFill>
                <a:srgbClr val="808080"/>
              </a:solidFill>
              <a:prstDash val="solid"/>
            </a:ln>
          </c:spPr>
          <c:marker>
            <c:symbol val="none"/>
          </c:marker>
          <c:dLbls>
            <c:dLbl>
              <c:idx val="0"/>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194D-499B-A055-1E3876CBC907}"/>
                </c:ext>
              </c:extLst>
            </c:dLbl>
            <c:dLbl>
              <c:idx val="1"/>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194D-499B-A055-1E3876CBC907}"/>
                </c:ext>
              </c:extLst>
            </c:dLbl>
            <c:dLbl>
              <c:idx val="2"/>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194D-499B-A055-1E3876CBC907}"/>
                </c:ext>
              </c:extLst>
            </c:dLbl>
            <c:dLbl>
              <c:idx val="3"/>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194D-499B-A055-1E3876CBC907}"/>
                </c:ext>
              </c:extLst>
            </c:dLbl>
            <c:dLbl>
              <c:idx val="4"/>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194D-499B-A055-1E3876CBC907}"/>
                </c:ext>
              </c:extLst>
            </c:dLbl>
            <c:dLbl>
              <c:idx val="5"/>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194D-499B-A055-1E3876CBC907}"/>
                </c:ext>
              </c:extLst>
            </c:dLbl>
            <c:dLbl>
              <c:idx val="6"/>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194D-499B-A055-1E3876CBC907}"/>
                </c:ext>
              </c:extLst>
            </c:dLbl>
            <c:dLbl>
              <c:idx val="7"/>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194D-499B-A055-1E3876CBC907}"/>
                </c:ext>
              </c:extLst>
            </c:dLbl>
            <c:dLbl>
              <c:idx val="8"/>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194D-499B-A055-1E3876CBC907}"/>
                </c:ext>
              </c:extLst>
            </c:dLbl>
            <c:dLbl>
              <c:idx val="9"/>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194D-499B-A055-1E3876CBC907}"/>
                </c:ext>
              </c:extLst>
            </c:dLbl>
            <c:dLbl>
              <c:idx val="10"/>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194D-499B-A055-1E3876CBC907}"/>
                </c:ext>
              </c:extLst>
            </c:dLbl>
            <c:dLbl>
              <c:idx val="11"/>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194D-499B-A055-1E3876CBC907}"/>
                </c:ext>
              </c:extLst>
            </c:dLbl>
            <c:dLbl>
              <c:idx val="12"/>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194D-499B-A055-1E3876CBC907}"/>
                </c:ext>
              </c:extLst>
            </c:dLbl>
            <c:dLbl>
              <c:idx val="13"/>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194D-499B-A055-1E3876CBC907}"/>
                </c:ext>
              </c:extLst>
            </c:dLbl>
            <c:dLbl>
              <c:idx val="14"/>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194D-499B-A055-1E3876CBC907}"/>
                </c:ext>
              </c:extLst>
            </c:dLbl>
            <c:dLbl>
              <c:idx val="15"/>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194D-499B-A055-1E3876CBC907}"/>
                </c:ext>
              </c:extLst>
            </c:dLbl>
            <c:dLbl>
              <c:idx val="16"/>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194D-499B-A055-1E3876CBC907}"/>
                </c:ext>
              </c:extLst>
            </c:dLbl>
            <c:dLbl>
              <c:idx val="17"/>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194D-499B-A055-1E3876CBC907}"/>
                </c:ext>
              </c:extLst>
            </c:dLbl>
            <c:dLbl>
              <c:idx val="18"/>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194D-499B-A055-1E3876CBC907}"/>
                </c:ext>
              </c:extLst>
            </c:dLbl>
            <c:dLbl>
              <c:idx val="19"/>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194D-499B-A055-1E3876CBC907}"/>
                </c:ext>
              </c:extLst>
            </c:dLbl>
            <c:dLbl>
              <c:idx val="20"/>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194D-499B-A055-1E3876CBC907}"/>
                </c:ext>
              </c:extLst>
            </c:dLbl>
            <c:dLbl>
              <c:idx val="21"/>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194D-499B-A055-1E3876CBC907}"/>
                </c:ext>
              </c:extLst>
            </c:dLbl>
            <c:spPr>
              <a:noFill/>
              <a:ln w="25400">
                <a:noFill/>
              </a:ln>
            </c:spPr>
            <c:txPr>
              <a:bodyPr/>
              <a:lstStyle/>
              <a:p>
                <a:pPr>
                  <a:defRPr sz="225" b="0" i="0" u="none" strike="noStrike" baseline="0">
                    <a:solidFill>
                      <a:srgbClr val="000000"/>
                    </a:solidFill>
                    <a:latin typeface="Arial"/>
                    <a:ea typeface="Arial"/>
                    <a:cs typeface="Arial"/>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smooth val="0"/>
          <c:extLst>
            <c:ext xmlns:c16="http://schemas.microsoft.com/office/drawing/2014/chart" uri="{C3380CC4-5D6E-409C-BE32-E72D297353CC}">
              <c16:uniqueId val="{0000002D-194D-499B-A055-1E3876CBC907}"/>
            </c:ext>
          </c:extLst>
        </c:ser>
        <c:ser>
          <c:idx val="1"/>
          <c:order val="2"/>
          <c:spPr>
            <a:ln w="25400">
              <a:solidFill>
                <a:srgbClr val="C0C0C0"/>
              </a:solidFill>
              <a:prstDash val="solid"/>
            </a:ln>
          </c:spPr>
          <c:marker>
            <c:symbol val="none"/>
          </c:marker>
          <c:dLbls>
            <c:dLbl>
              <c:idx val="0"/>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194D-499B-A055-1E3876CBC907}"/>
                </c:ext>
              </c:extLst>
            </c:dLbl>
            <c:dLbl>
              <c:idx val="1"/>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194D-499B-A055-1E3876CBC907}"/>
                </c:ext>
              </c:extLst>
            </c:dLbl>
            <c:dLbl>
              <c:idx val="2"/>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194D-499B-A055-1E3876CBC907}"/>
                </c:ext>
              </c:extLst>
            </c:dLbl>
            <c:dLbl>
              <c:idx val="3"/>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194D-499B-A055-1E3876CBC907}"/>
                </c:ext>
              </c:extLst>
            </c:dLbl>
            <c:dLbl>
              <c:idx val="4"/>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194D-499B-A055-1E3876CBC907}"/>
                </c:ext>
              </c:extLst>
            </c:dLbl>
            <c:dLbl>
              <c:idx val="5"/>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194D-499B-A055-1E3876CBC907}"/>
                </c:ext>
              </c:extLst>
            </c:dLbl>
            <c:dLbl>
              <c:idx val="6"/>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194D-499B-A055-1E3876CBC907}"/>
                </c:ext>
              </c:extLst>
            </c:dLbl>
            <c:dLbl>
              <c:idx val="7"/>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194D-499B-A055-1E3876CBC907}"/>
                </c:ext>
              </c:extLst>
            </c:dLbl>
            <c:dLbl>
              <c:idx val="8"/>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194D-499B-A055-1E3876CBC907}"/>
                </c:ext>
              </c:extLst>
            </c:dLbl>
            <c:dLbl>
              <c:idx val="9"/>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194D-499B-A055-1E3876CBC907}"/>
                </c:ext>
              </c:extLst>
            </c:dLbl>
            <c:dLbl>
              <c:idx val="10"/>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194D-499B-A055-1E3876CBC907}"/>
                </c:ext>
              </c:extLst>
            </c:dLbl>
            <c:dLbl>
              <c:idx val="11"/>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194D-499B-A055-1E3876CBC907}"/>
                </c:ext>
              </c:extLst>
            </c:dLbl>
            <c:dLbl>
              <c:idx val="12"/>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194D-499B-A055-1E3876CBC907}"/>
                </c:ext>
              </c:extLst>
            </c:dLbl>
            <c:dLbl>
              <c:idx val="13"/>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194D-499B-A055-1E3876CBC907}"/>
                </c:ext>
              </c:extLst>
            </c:dLbl>
            <c:dLbl>
              <c:idx val="14"/>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194D-499B-A055-1E3876CBC907}"/>
                </c:ext>
              </c:extLst>
            </c:dLbl>
            <c:dLbl>
              <c:idx val="15"/>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194D-499B-A055-1E3876CBC907}"/>
                </c:ext>
              </c:extLst>
            </c:dLbl>
            <c:dLbl>
              <c:idx val="16"/>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194D-499B-A055-1E3876CBC907}"/>
                </c:ext>
              </c:extLst>
            </c:dLbl>
            <c:dLbl>
              <c:idx val="17"/>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194D-499B-A055-1E3876CBC907}"/>
                </c:ext>
              </c:extLst>
            </c:dLbl>
            <c:dLbl>
              <c:idx val="18"/>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194D-499B-A055-1E3876CBC907}"/>
                </c:ext>
              </c:extLst>
            </c:dLbl>
            <c:dLbl>
              <c:idx val="19"/>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194D-499B-A055-1E3876CBC907}"/>
                </c:ext>
              </c:extLst>
            </c:dLbl>
            <c:dLbl>
              <c:idx val="20"/>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194D-499B-A055-1E3876CBC907}"/>
                </c:ext>
              </c:extLst>
            </c:dLbl>
            <c:dLbl>
              <c:idx val="21"/>
              <c:tx>
                <c:rich>
                  <a:bodyPr/>
                  <a:lstStyle/>
                  <a:p>
                    <a:r>
                      <a:rPr lang="de-DE"/>
                      <a:t>#BEZUG!</a:t>
                    </a:r>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194D-499B-A055-1E3876CBC907}"/>
                </c:ext>
              </c:extLst>
            </c:dLbl>
            <c:spPr>
              <a:noFill/>
              <a:ln w="25400">
                <a:noFill/>
              </a:ln>
            </c:spPr>
            <c:txPr>
              <a:bodyPr/>
              <a:lstStyle/>
              <a:p>
                <a:pPr>
                  <a:defRPr sz="150" b="0" i="0" u="none" strike="noStrike" baseline="0">
                    <a:solidFill>
                      <a:srgbClr val="000000"/>
                    </a:solidFill>
                    <a:latin typeface="Arial"/>
                    <a:ea typeface="Arial"/>
                    <a:cs typeface="Arial"/>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smooth val="0"/>
          <c:extLst>
            <c:ext xmlns:c16="http://schemas.microsoft.com/office/drawing/2014/chart" uri="{C3380CC4-5D6E-409C-BE32-E72D297353CC}">
              <c16:uniqueId val="{00000044-194D-499B-A055-1E3876CBC907}"/>
            </c:ext>
          </c:extLst>
        </c:ser>
        <c:dLbls>
          <c:showLegendKey val="0"/>
          <c:showVal val="0"/>
          <c:showCatName val="0"/>
          <c:showSerName val="0"/>
          <c:showPercent val="0"/>
          <c:showBubbleSize val="0"/>
        </c:dLbls>
        <c:smooth val="0"/>
        <c:axId val="297633680"/>
        <c:axId val="297634072"/>
      </c:lineChart>
      <c:catAx>
        <c:axId val="2976336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de-DE"/>
          </a:p>
        </c:txPr>
        <c:crossAx val="297634072"/>
        <c:crosses val="autoZero"/>
        <c:auto val="1"/>
        <c:lblAlgn val="ctr"/>
        <c:lblOffset val="100"/>
        <c:tickLblSkip val="1"/>
        <c:tickMarkSkip val="1"/>
        <c:noMultiLvlLbl val="0"/>
      </c:catAx>
      <c:valAx>
        <c:axId val="297634072"/>
        <c:scaling>
          <c:orientation val="minMax"/>
        </c:scaling>
        <c:delete val="0"/>
        <c:axPos val="l"/>
        <c:numFmt formatCode="0" sourceLinked="0"/>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de-DE"/>
          </a:p>
        </c:txPr>
        <c:crossAx val="297633680"/>
        <c:crosses val="autoZero"/>
        <c:crossBetween val="between"/>
      </c:valAx>
      <c:spPr>
        <a:noFill/>
        <a:ln w="25400">
          <a:noFill/>
        </a:ln>
      </c:spPr>
    </c:plotArea>
    <c:legend>
      <c:legendPos val="r"/>
      <c:overlay val="0"/>
      <c:spPr>
        <a:noFill/>
        <a:ln w="25400">
          <a:noFill/>
        </a:ln>
      </c:spPr>
      <c:txPr>
        <a:bodyPr/>
        <a:lstStyle/>
        <a:p>
          <a:pPr>
            <a:defRPr sz="735" b="0" i="0" u="none" strike="noStrike" baseline="0">
              <a:solidFill>
                <a:srgbClr val="000000"/>
              </a:solidFill>
              <a:latin typeface="Arial"/>
              <a:ea typeface="Arial"/>
              <a:cs typeface="Arial"/>
            </a:defRPr>
          </a:pPr>
          <a:endParaRPr lang="de-DE"/>
        </a:p>
      </c:txPr>
    </c:legend>
    <c:plotVisOnly val="1"/>
    <c:dispBlanksAs val="gap"/>
    <c:showDLblsOverMax val="0"/>
  </c:chart>
  <c:spPr>
    <a:noFill/>
    <a:ln w="9525">
      <a:noFill/>
    </a:ln>
  </c:spPr>
  <c:txPr>
    <a:bodyPr/>
    <a:lstStyle/>
    <a:p>
      <a:pPr>
        <a:defRPr sz="200" b="0" i="0" u="none" strike="noStrike" baseline="0">
          <a:solidFill>
            <a:srgbClr val="000000"/>
          </a:solidFill>
          <a:latin typeface="Arial"/>
          <a:ea typeface="Arial"/>
          <a:cs typeface="Arial"/>
        </a:defRPr>
      </a:pPr>
      <a:endParaRPr lang="de-DE"/>
    </a:p>
  </c:txPr>
  <c:printSettings>
    <c:headerFooter alignWithMargins="0"/>
    <c:pageMargins b="0.98425196899999956" l="0.78740157499999996" r="0.78740157499999996" t="0.98425196899999956" header="0.49212598450000788" footer="0.49212598450000788"/>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5400">
              <a:solidFill>
                <a:srgbClr val="000000"/>
              </a:solidFill>
              <a:prstDash val="solid"/>
            </a:ln>
          </c:spPr>
          <c:marker>
            <c:symbol val="none"/>
          </c:marker>
          <c:dLbls>
            <c:dLbl>
              <c:idx val="0"/>
              <c:tx>
                <c:rich>
                  <a:bodyPr/>
                  <a:lstStyle/>
                  <a:p>
                    <a:pPr>
                      <a:defRPr sz="1000" b="0" i="0" u="none" strike="noStrike" baseline="0">
                        <a:solidFill>
                          <a:srgbClr val="000000"/>
                        </a:solidFill>
                        <a:latin typeface="Arial"/>
                        <a:ea typeface="Arial"/>
                        <a:cs typeface="Arial"/>
                      </a:defRPr>
                    </a:pPr>
                    <a:endParaRPr lang="de-DE"/>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4115-47CA-8C5D-77CD9C222DFE}"/>
                </c:ext>
              </c:extLst>
            </c:dLbl>
            <c:dLbl>
              <c:idx val="1"/>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115-47CA-8C5D-77CD9C222DFE}"/>
                </c:ext>
              </c:extLst>
            </c:dLbl>
            <c:dLbl>
              <c:idx val="2"/>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4115-47CA-8C5D-77CD9C222DFE}"/>
                </c:ext>
              </c:extLst>
            </c:dLbl>
            <c:dLbl>
              <c:idx val="3"/>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15-47CA-8C5D-77CD9C222DFE}"/>
                </c:ext>
              </c:extLst>
            </c:dLbl>
            <c:dLbl>
              <c:idx val="4"/>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15-47CA-8C5D-77CD9C222DFE}"/>
                </c:ext>
              </c:extLst>
            </c:dLbl>
            <c:dLbl>
              <c:idx val="5"/>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4115-47CA-8C5D-77CD9C222DFE}"/>
                </c:ext>
              </c:extLst>
            </c:dLbl>
            <c:dLbl>
              <c:idx val="6"/>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4115-47CA-8C5D-77CD9C222DFE}"/>
                </c:ext>
              </c:extLst>
            </c:dLbl>
            <c:dLbl>
              <c:idx val="7"/>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4115-47CA-8C5D-77CD9C222DFE}"/>
                </c:ext>
              </c:extLst>
            </c:dLbl>
            <c:dLbl>
              <c:idx val="8"/>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4115-47CA-8C5D-77CD9C222DFE}"/>
                </c:ext>
              </c:extLst>
            </c:dLbl>
            <c:dLbl>
              <c:idx val="9"/>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4115-47CA-8C5D-77CD9C222DFE}"/>
                </c:ext>
              </c:extLst>
            </c:dLbl>
            <c:dLbl>
              <c:idx val="10"/>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4115-47CA-8C5D-77CD9C222DFE}"/>
                </c:ext>
              </c:extLst>
            </c:dLbl>
            <c:dLbl>
              <c:idx val="11"/>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4115-47CA-8C5D-77CD9C222DFE}"/>
                </c:ext>
              </c:extLst>
            </c:dLbl>
            <c:dLbl>
              <c:idx val="12"/>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4115-47CA-8C5D-77CD9C222DFE}"/>
                </c:ext>
              </c:extLst>
            </c:dLbl>
            <c:dLbl>
              <c:idx val="13"/>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4115-47CA-8C5D-77CD9C222DFE}"/>
                </c:ext>
              </c:extLst>
            </c:dLbl>
            <c:dLbl>
              <c:idx val="14"/>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4115-47CA-8C5D-77CD9C222DFE}"/>
                </c:ext>
              </c:extLst>
            </c:dLbl>
            <c:dLbl>
              <c:idx val="15"/>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4115-47CA-8C5D-77CD9C222DFE}"/>
                </c:ext>
              </c:extLst>
            </c:dLbl>
            <c:dLbl>
              <c:idx val="16"/>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4115-47CA-8C5D-77CD9C222DFE}"/>
                </c:ext>
              </c:extLst>
            </c:dLbl>
            <c:dLbl>
              <c:idx val="17"/>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4115-47CA-8C5D-77CD9C222DFE}"/>
                </c:ext>
              </c:extLst>
            </c:dLbl>
            <c:dLbl>
              <c:idx val="18"/>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4115-47CA-8C5D-77CD9C222DFE}"/>
                </c:ext>
              </c:extLst>
            </c:dLbl>
            <c:dLbl>
              <c:idx val="19"/>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4115-47CA-8C5D-77CD9C222DFE}"/>
                </c:ext>
              </c:extLst>
            </c:dLbl>
            <c:dLbl>
              <c:idx val="20"/>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4115-47CA-8C5D-77CD9C222DFE}"/>
                </c:ext>
              </c:extLst>
            </c:dLbl>
            <c:dLbl>
              <c:idx val="21"/>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b"/>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4115-47CA-8C5D-77CD9C222DFE}"/>
                </c:ext>
              </c:extLst>
            </c:dLbl>
            <c:spPr>
              <a:noFill/>
              <a:ln w="25400">
                <a:noFill/>
              </a:ln>
            </c:spPr>
            <c:txPr>
              <a:bodyPr/>
              <a:lstStyle/>
              <a:p>
                <a:pPr>
                  <a:defRPr sz="150" b="0" i="0" u="none" strike="noStrike" baseline="0">
                    <a:solidFill>
                      <a:srgbClr val="000000"/>
                    </a:solidFill>
                    <a:latin typeface="Arial"/>
                    <a:ea typeface="Arial"/>
                    <a:cs typeface="Arial"/>
                  </a:defRPr>
                </a:pPr>
                <a:endParaRPr lang="de-DE"/>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smooth val="0"/>
          <c:extLst>
            <c:ext xmlns:c16="http://schemas.microsoft.com/office/drawing/2014/chart" uri="{C3380CC4-5D6E-409C-BE32-E72D297353CC}">
              <c16:uniqueId val="{00000016-4115-47CA-8C5D-77CD9C222DFE}"/>
            </c:ext>
          </c:extLst>
        </c:ser>
        <c:ser>
          <c:idx val="2"/>
          <c:order val="1"/>
          <c:spPr>
            <a:ln w="25400">
              <a:solidFill>
                <a:srgbClr val="808080"/>
              </a:solidFill>
              <a:prstDash val="solid"/>
            </a:ln>
          </c:spPr>
          <c:marker>
            <c:symbol val="none"/>
          </c:marker>
          <c:dLbls>
            <c:dLbl>
              <c:idx val="0"/>
              <c:tx>
                <c:rich>
                  <a:bodyPr/>
                  <a:lstStyle/>
                  <a:p>
                    <a:pPr>
                      <a:defRPr sz="1000" b="0" i="0" u="none" strike="noStrike" baseline="0">
                        <a:solidFill>
                          <a:srgbClr val="000000"/>
                        </a:solidFill>
                        <a:latin typeface="Arial"/>
                        <a:ea typeface="Arial"/>
                        <a:cs typeface="Arial"/>
                      </a:defRPr>
                    </a:pPr>
                    <a:endParaRPr lang="de-DE"/>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4115-47CA-8C5D-77CD9C222DFE}"/>
                </c:ext>
              </c:extLst>
            </c:dLbl>
            <c:dLbl>
              <c:idx val="1"/>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4115-47CA-8C5D-77CD9C222DFE}"/>
                </c:ext>
              </c:extLst>
            </c:dLbl>
            <c:dLbl>
              <c:idx val="2"/>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4115-47CA-8C5D-77CD9C222DFE}"/>
                </c:ext>
              </c:extLst>
            </c:dLbl>
            <c:dLbl>
              <c:idx val="3"/>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4115-47CA-8C5D-77CD9C222DFE}"/>
                </c:ext>
              </c:extLst>
            </c:dLbl>
            <c:dLbl>
              <c:idx val="4"/>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4115-47CA-8C5D-77CD9C222DFE}"/>
                </c:ext>
              </c:extLst>
            </c:dLbl>
            <c:dLbl>
              <c:idx val="5"/>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4115-47CA-8C5D-77CD9C222DFE}"/>
                </c:ext>
              </c:extLst>
            </c:dLbl>
            <c:dLbl>
              <c:idx val="6"/>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4115-47CA-8C5D-77CD9C222DFE}"/>
                </c:ext>
              </c:extLst>
            </c:dLbl>
            <c:dLbl>
              <c:idx val="7"/>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4115-47CA-8C5D-77CD9C222DFE}"/>
                </c:ext>
              </c:extLst>
            </c:dLbl>
            <c:dLbl>
              <c:idx val="8"/>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4115-47CA-8C5D-77CD9C222DFE}"/>
                </c:ext>
              </c:extLst>
            </c:dLbl>
            <c:dLbl>
              <c:idx val="9"/>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4115-47CA-8C5D-77CD9C222DFE}"/>
                </c:ext>
              </c:extLst>
            </c:dLbl>
            <c:dLbl>
              <c:idx val="10"/>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4115-47CA-8C5D-77CD9C222DFE}"/>
                </c:ext>
              </c:extLst>
            </c:dLbl>
            <c:dLbl>
              <c:idx val="11"/>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4115-47CA-8C5D-77CD9C222DFE}"/>
                </c:ext>
              </c:extLst>
            </c:dLbl>
            <c:dLbl>
              <c:idx val="12"/>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4115-47CA-8C5D-77CD9C222DFE}"/>
                </c:ext>
              </c:extLst>
            </c:dLbl>
            <c:dLbl>
              <c:idx val="13"/>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4115-47CA-8C5D-77CD9C222DFE}"/>
                </c:ext>
              </c:extLst>
            </c:dLbl>
            <c:dLbl>
              <c:idx val="14"/>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4115-47CA-8C5D-77CD9C222DFE}"/>
                </c:ext>
              </c:extLst>
            </c:dLbl>
            <c:dLbl>
              <c:idx val="15"/>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4115-47CA-8C5D-77CD9C222DFE}"/>
                </c:ext>
              </c:extLst>
            </c:dLbl>
            <c:dLbl>
              <c:idx val="16"/>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4115-47CA-8C5D-77CD9C222DFE}"/>
                </c:ext>
              </c:extLst>
            </c:dLbl>
            <c:dLbl>
              <c:idx val="17"/>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4115-47CA-8C5D-77CD9C222DFE}"/>
                </c:ext>
              </c:extLst>
            </c:dLbl>
            <c:dLbl>
              <c:idx val="18"/>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4115-47CA-8C5D-77CD9C222DFE}"/>
                </c:ext>
              </c:extLst>
            </c:dLbl>
            <c:dLbl>
              <c:idx val="19"/>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4115-47CA-8C5D-77CD9C222DFE}"/>
                </c:ext>
              </c:extLst>
            </c:dLbl>
            <c:dLbl>
              <c:idx val="20"/>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4115-47CA-8C5D-77CD9C222DFE}"/>
                </c:ext>
              </c:extLst>
            </c:dLbl>
            <c:dLbl>
              <c:idx val="21"/>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4115-47CA-8C5D-77CD9C222DFE}"/>
                </c:ext>
              </c:extLst>
            </c:dLbl>
            <c:spPr>
              <a:noFill/>
              <a:ln w="25400">
                <a:noFill/>
              </a:ln>
            </c:spPr>
            <c:txPr>
              <a:bodyPr/>
              <a:lstStyle/>
              <a:p>
                <a:pPr>
                  <a:defRPr sz="225" b="0" i="0" u="none" strike="noStrike" baseline="0">
                    <a:solidFill>
                      <a:srgbClr val="000000"/>
                    </a:solidFill>
                    <a:latin typeface="Arial"/>
                    <a:ea typeface="Arial"/>
                    <a:cs typeface="Arial"/>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smooth val="0"/>
          <c:extLst>
            <c:ext xmlns:c16="http://schemas.microsoft.com/office/drawing/2014/chart" uri="{C3380CC4-5D6E-409C-BE32-E72D297353CC}">
              <c16:uniqueId val="{0000002D-4115-47CA-8C5D-77CD9C222DFE}"/>
            </c:ext>
          </c:extLst>
        </c:ser>
        <c:ser>
          <c:idx val="1"/>
          <c:order val="2"/>
          <c:spPr>
            <a:ln w="25400">
              <a:solidFill>
                <a:srgbClr val="C0C0C0"/>
              </a:solidFill>
              <a:prstDash val="solid"/>
            </a:ln>
          </c:spPr>
          <c:marker>
            <c:symbol val="none"/>
          </c:marker>
          <c:dLbls>
            <c:dLbl>
              <c:idx val="0"/>
              <c:tx>
                <c:rich>
                  <a:bodyPr/>
                  <a:lstStyle/>
                  <a:p>
                    <a:pPr>
                      <a:defRPr sz="1000" b="0" i="0" u="none" strike="noStrike" baseline="0">
                        <a:solidFill>
                          <a:srgbClr val="000000"/>
                        </a:solidFill>
                        <a:latin typeface="Arial"/>
                        <a:ea typeface="Arial"/>
                        <a:cs typeface="Arial"/>
                      </a:defRPr>
                    </a:pPr>
                    <a:endParaRPr lang="de-DE"/>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4115-47CA-8C5D-77CD9C222DFE}"/>
                </c:ext>
              </c:extLst>
            </c:dLbl>
            <c:dLbl>
              <c:idx val="1"/>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4115-47CA-8C5D-77CD9C222DFE}"/>
                </c:ext>
              </c:extLst>
            </c:dLbl>
            <c:dLbl>
              <c:idx val="2"/>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4115-47CA-8C5D-77CD9C222DFE}"/>
                </c:ext>
              </c:extLst>
            </c:dLbl>
            <c:dLbl>
              <c:idx val="3"/>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4115-47CA-8C5D-77CD9C222DFE}"/>
                </c:ext>
              </c:extLst>
            </c:dLbl>
            <c:dLbl>
              <c:idx val="4"/>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4115-47CA-8C5D-77CD9C222DFE}"/>
                </c:ext>
              </c:extLst>
            </c:dLbl>
            <c:dLbl>
              <c:idx val="5"/>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4115-47CA-8C5D-77CD9C222DFE}"/>
                </c:ext>
              </c:extLst>
            </c:dLbl>
            <c:dLbl>
              <c:idx val="6"/>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4115-47CA-8C5D-77CD9C222DFE}"/>
                </c:ext>
              </c:extLst>
            </c:dLbl>
            <c:dLbl>
              <c:idx val="7"/>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4115-47CA-8C5D-77CD9C222DFE}"/>
                </c:ext>
              </c:extLst>
            </c:dLbl>
            <c:dLbl>
              <c:idx val="8"/>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4115-47CA-8C5D-77CD9C222DFE}"/>
                </c:ext>
              </c:extLst>
            </c:dLbl>
            <c:dLbl>
              <c:idx val="9"/>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4115-47CA-8C5D-77CD9C222DFE}"/>
                </c:ext>
              </c:extLst>
            </c:dLbl>
            <c:dLbl>
              <c:idx val="10"/>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4115-47CA-8C5D-77CD9C222DFE}"/>
                </c:ext>
              </c:extLst>
            </c:dLbl>
            <c:dLbl>
              <c:idx val="11"/>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4115-47CA-8C5D-77CD9C222DFE}"/>
                </c:ext>
              </c:extLst>
            </c:dLbl>
            <c:dLbl>
              <c:idx val="12"/>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4115-47CA-8C5D-77CD9C222DFE}"/>
                </c:ext>
              </c:extLst>
            </c:dLbl>
            <c:dLbl>
              <c:idx val="13"/>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4115-47CA-8C5D-77CD9C222DFE}"/>
                </c:ext>
              </c:extLst>
            </c:dLbl>
            <c:dLbl>
              <c:idx val="14"/>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4115-47CA-8C5D-77CD9C222DFE}"/>
                </c:ext>
              </c:extLst>
            </c:dLbl>
            <c:dLbl>
              <c:idx val="15"/>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4115-47CA-8C5D-77CD9C222DFE}"/>
                </c:ext>
              </c:extLst>
            </c:dLbl>
            <c:dLbl>
              <c:idx val="16"/>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4115-47CA-8C5D-77CD9C222DFE}"/>
                </c:ext>
              </c:extLst>
            </c:dLbl>
            <c:dLbl>
              <c:idx val="17"/>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4115-47CA-8C5D-77CD9C222DFE}"/>
                </c:ext>
              </c:extLst>
            </c:dLbl>
            <c:dLbl>
              <c:idx val="18"/>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4115-47CA-8C5D-77CD9C222DFE}"/>
                </c:ext>
              </c:extLst>
            </c:dLbl>
            <c:dLbl>
              <c:idx val="19"/>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4115-47CA-8C5D-77CD9C222DFE}"/>
                </c:ext>
              </c:extLst>
            </c:dLbl>
            <c:dLbl>
              <c:idx val="20"/>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4115-47CA-8C5D-77CD9C222DFE}"/>
                </c:ext>
              </c:extLst>
            </c:dLbl>
            <c:dLbl>
              <c:idx val="21"/>
              <c:tx>
                <c:rich>
                  <a:bodyPr/>
                  <a:lstStyle/>
                  <a:p>
                    <a:pPr>
                      <a:defRPr sz="1000" b="0" i="0" u="none" strike="noStrike" baseline="0">
                        <a:solidFill>
                          <a:srgbClr val="000000"/>
                        </a:solidFill>
                        <a:latin typeface="Arial"/>
                        <a:ea typeface="Arial"/>
                        <a:cs typeface="Arial"/>
                      </a:defRPr>
                    </a:pPr>
                    <a:endParaRPr/>
                  </a:p>
                </c:rich>
              </c:tx>
              <c:spPr>
                <a:noFill/>
                <a:ln w="25400">
                  <a:noFill/>
                </a:ln>
              </c:spPr>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4115-47CA-8C5D-77CD9C222DFE}"/>
                </c:ext>
              </c:extLst>
            </c:dLbl>
            <c:spPr>
              <a:noFill/>
              <a:ln w="25400">
                <a:noFill/>
              </a:ln>
            </c:spPr>
            <c:txPr>
              <a:bodyPr/>
              <a:lstStyle/>
              <a:p>
                <a:pPr>
                  <a:defRPr sz="150" b="0" i="0" u="none" strike="noStrike" baseline="0">
                    <a:solidFill>
                      <a:srgbClr val="000000"/>
                    </a:solidFill>
                    <a:latin typeface="Arial"/>
                    <a:ea typeface="Arial"/>
                    <a:cs typeface="Arial"/>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smooth val="0"/>
          <c:extLst>
            <c:ext xmlns:c16="http://schemas.microsoft.com/office/drawing/2014/chart" uri="{C3380CC4-5D6E-409C-BE32-E72D297353CC}">
              <c16:uniqueId val="{00000044-4115-47CA-8C5D-77CD9C222DFE}"/>
            </c:ext>
          </c:extLst>
        </c:ser>
        <c:dLbls>
          <c:showLegendKey val="0"/>
          <c:showVal val="0"/>
          <c:showCatName val="0"/>
          <c:showSerName val="0"/>
          <c:showPercent val="0"/>
          <c:showBubbleSize val="0"/>
        </c:dLbls>
        <c:smooth val="0"/>
        <c:axId val="292822744"/>
        <c:axId val="292823136"/>
      </c:lineChart>
      <c:catAx>
        <c:axId val="29282274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50" b="0" i="0" u="none" strike="noStrike" baseline="0">
                <a:solidFill>
                  <a:srgbClr val="000000"/>
                </a:solidFill>
                <a:latin typeface="Arial"/>
                <a:ea typeface="Arial"/>
                <a:cs typeface="Arial"/>
              </a:defRPr>
            </a:pPr>
            <a:endParaRPr lang="de-DE"/>
          </a:p>
        </c:txPr>
        <c:crossAx val="292823136"/>
        <c:crosses val="autoZero"/>
        <c:auto val="1"/>
        <c:lblAlgn val="ctr"/>
        <c:lblOffset val="100"/>
        <c:tickLblSkip val="1"/>
        <c:tickMarkSkip val="1"/>
        <c:noMultiLvlLbl val="0"/>
      </c:catAx>
      <c:valAx>
        <c:axId val="292823136"/>
        <c:scaling>
          <c:orientation val="minMax"/>
        </c:scaling>
        <c:delete val="0"/>
        <c:axPos val="l"/>
        <c:numFmt formatCode="0" sourceLinked="0"/>
        <c:majorTickMark val="out"/>
        <c:minorTickMark val="none"/>
        <c:tickLblPos val="nextTo"/>
        <c:spPr>
          <a:ln w="3175">
            <a:solidFill>
              <a:srgbClr val="000000"/>
            </a:solidFill>
            <a:prstDash val="solid"/>
          </a:ln>
        </c:spPr>
        <c:txPr>
          <a:bodyPr rot="0" vert="horz"/>
          <a:lstStyle/>
          <a:p>
            <a:pPr>
              <a:defRPr sz="250" b="0" i="0" u="none" strike="noStrike" baseline="0">
                <a:solidFill>
                  <a:srgbClr val="000000"/>
                </a:solidFill>
                <a:latin typeface="Arial"/>
                <a:ea typeface="Arial"/>
                <a:cs typeface="Arial"/>
              </a:defRPr>
            </a:pPr>
            <a:endParaRPr lang="de-DE"/>
          </a:p>
        </c:txPr>
        <c:crossAx val="292822744"/>
        <c:crosses val="autoZero"/>
        <c:crossBetween val="between"/>
      </c:valAx>
      <c:spPr>
        <a:noFill/>
        <a:ln w="25400">
          <a:noFill/>
        </a:ln>
      </c:spPr>
    </c:plotArea>
    <c:legend>
      <c:legendPos val="r"/>
      <c:overlay val="0"/>
      <c:spPr>
        <a:noFill/>
        <a:ln w="25400">
          <a:noFill/>
        </a:ln>
      </c:spPr>
      <c:txPr>
        <a:bodyPr/>
        <a:lstStyle/>
        <a:p>
          <a:pPr>
            <a:defRPr sz="735" b="0" i="0" u="none" strike="noStrike" baseline="0">
              <a:solidFill>
                <a:srgbClr val="000000"/>
              </a:solidFill>
              <a:latin typeface="Arial"/>
              <a:ea typeface="Arial"/>
              <a:cs typeface="Arial"/>
            </a:defRPr>
          </a:pPr>
          <a:endParaRPr lang="de-DE"/>
        </a:p>
      </c:txPr>
    </c:legend>
    <c:plotVisOnly val="1"/>
    <c:dispBlanksAs val="gap"/>
    <c:showDLblsOverMax val="0"/>
  </c:chart>
  <c:spPr>
    <a:noFill/>
    <a:ln w="9525">
      <a:noFill/>
    </a:ln>
  </c:spPr>
  <c:txPr>
    <a:bodyPr/>
    <a:lstStyle/>
    <a:p>
      <a:pPr>
        <a:defRPr sz="200" b="0" i="0" u="none" strike="noStrike" baseline="0">
          <a:solidFill>
            <a:srgbClr val="000000"/>
          </a:solidFill>
          <a:latin typeface="Arial"/>
          <a:ea typeface="Arial"/>
          <a:cs typeface="Arial"/>
        </a:defRPr>
      </a:pPr>
      <a:endParaRPr lang="de-DE"/>
    </a:p>
  </c:txPr>
  <c:printSettings>
    <c:headerFooter alignWithMargins="0"/>
    <c:pageMargins b="0.98425196899999956" l="0.78740157499999996" r="0.78740157499999996" t="0.98425196899999956" header="0.49212598450000788" footer="0.49212598450000788"/>
    <c:pageSetup paperSize="9"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8044718948978125E-2"/>
          <c:y val="9.4044031096981395E-2"/>
          <c:w val="0.93184408380111061"/>
          <c:h val="0.76175665188554964"/>
        </c:manualLayout>
      </c:layout>
      <c:lineChart>
        <c:grouping val="standard"/>
        <c:varyColors val="0"/>
        <c:ser>
          <c:idx val="0"/>
          <c:order val="0"/>
          <c:tx>
            <c:strRef>
              <c:f>Daten_Diagramme!$E$51</c:f>
              <c:strCache>
                <c:ptCount val="1"/>
                <c:pt idx="0">
                  <c:v>SvB</c:v>
                </c:pt>
              </c:strCache>
            </c:strRef>
          </c:tx>
          <c:spPr>
            <a:ln w="25400">
              <a:solidFill>
                <a:srgbClr val="000000"/>
              </a:solidFill>
              <a:prstDash val="solid"/>
            </a:ln>
          </c:spPr>
          <c:marker>
            <c:symbol val="none"/>
          </c:marker>
          <c:val>
            <c:numRef>
              <c:f>Daten_Diagramme!$E$52:$E$76</c:f>
              <c:numCache>
                <c:formatCode>0.0</c:formatCode>
                <c:ptCount val="25"/>
                <c:pt idx="0">
                  <c:v>100</c:v>
                </c:pt>
                <c:pt idx="1">
                  <c:v>101.48869397280116</c:v>
                </c:pt>
                <c:pt idx="2">
                  <c:v>100.43913598271045</c:v>
                </c:pt>
                <c:pt idx="3">
                  <c:v>99.854004529308298</c:v>
                </c:pt>
                <c:pt idx="4">
                  <c:v>99.551667452206601</c:v>
                </c:pt>
                <c:pt idx="5">
                  <c:v>101.05070756072607</c:v>
                </c:pt>
                <c:pt idx="6">
                  <c:v>100.42764027635678</c:v>
                </c:pt>
                <c:pt idx="7">
                  <c:v>99.52407775695778</c:v>
                </c:pt>
                <c:pt idx="8">
                  <c:v>100.4448838358873</c:v>
                </c:pt>
                <c:pt idx="9">
                  <c:v>102.06807757302647</c:v>
                </c:pt>
                <c:pt idx="10">
                  <c:v>101.60020232443183</c:v>
                </c:pt>
                <c:pt idx="11">
                  <c:v>101.55996735219395</c:v>
                </c:pt>
                <c:pt idx="12">
                  <c:v>101.55651864028785</c:v>
                </c:pt>
                <c:pt idx="13">
                  <c:v>102.62561933117979</c:v>
                </c:pt>
                <c:pt idx="14">
                  <c:v>102.55434595178701</c:v>
                </c:pt>
                <c:pt idx="15">
                  <c:v>102.05083401349594</c:v>
                </c:pt>
                <c:pt idx="16">
                  <c:v>102.46812815413445</c:v>
                </c:pt>
                <c:pt idx="17">
                  <c:v>102.93830254399982</c:v>
                </c:pt>
                <c:pt idx="18">
                  <c:v>101.91403510788722</c:v>
                </c:pt>
                <c:pt idx="19">
                  <c:v>100.95414362735518</c:v>
                </c:pt>
                <c:pt idx="20">
                  <c:v>101.46685213072917</c:v>
                </c:pt>
                <c:pt idx="21">
                  <c:v>102.65895687960547</c:v>
                </c:pt>
                <c:pt idx="22">
                  <c:v>101.54962121647564</c:v>
                </c:pt>
                <c:pt idx="23">
                  <c:v>100.42074285254456</c:v>
                </c:pt>
                <c:pt idx="24">
                  <c:v>100.63341342008761</c:v>
                </c:pt>
              </c:numCache>
            </c:numRef>
          </c:val>
          <c:smooth val="0"/>
          <c:extLst>
            <c:ext xmlns:c16="http://schemas.microsoft.com/office/drawing/2014/chart" uri="{C3380CC4-5D6E-409C-BE32-E72D297353CC}">
              <c16:uniqueId val="{00000000-65A5-4DCF-A935-D2FAB266814F}"/>
            </c:ext>
          </c:extLst>
        </c:ser>
        <c:ser>
          <c:idx val="2"/>
          <c:order val="1"/>
          <c:tx>
            <c:strRef>
              <c:f>Daten_Diagramme!$F$51</c:f>
              <c:strCache>
                <c:ptCount val="1"/>
                <c:pt idx="0">
                  <c:v>GeB - ausschließlich</c:v>
                </c:pt>
              </c:strCache>
            </c:strRef>
          </c:tx>
          <c:spPr>
            <a:ln w="25400">
              <a:solidFill>
                <a:srgbClr val="808080"/>
              </a:solidFill>
              <a:prstDash val="solid"/>
            </a:ln>
          </c:spPr>
          <c:marker>
            <c:symbol val="none"/>
          </c:marker>
          <c:val>
            <c:numRef>
              <c:f>Daten_Diagramme!$F$52:$F$76</c:f>
              <c:numCache>
                <c:formatCode>0.0</c:formatCode>
                <c:ptCount val="25"/>
                <c:pt idx="0">
                  <c:v>100</c:v>
                </c:pt>
                <c:pt idx="1">
                  <c:v>97.667130919220057</c:v>
                </c:pt>
                <c:pt idx="2">
                  <c:v>97.632311977715887</c:v>
                </c:pt>
                <c:pt idx="3">
                  <c:v>93.117455896007428</c:v>
                </c:pt>
                <c:pt idx="4">
                  <c:v>89.322191272051995</c:v>
                </c:pt>
                <c:pt idx="5">
                  <c:v>91.074744661095636</c:v>
                </c:pt>
                <c:pt idx="6">
                  <c:v>87.801764159702884</c:v>
                </c:pt>
                <c:pt idx="7">
                  <c:v>85.306406685236766</c:v>
                </c:pt>
                <c:pt idx="8">
                  <c:v>86.57149489322191</c:v>
                </c:pt>
                <c:pt idx="9">
                  <c:v>88.451717734447541</c:v>
                </c:pt>
                <c:pt idx="10">
                  <c:v>84.760909935004648</c:v>
                </c:pt>
                <c:pt idx="11">
                  <c:v>83.577065923862577</c:v>
                </c:pt>
                <c:pt idx="12">
                  <c:v>86.26973073351904</c:v>
                </c:pt>
                <c:pt idx="13">
                  <c:v>86.792014856081707</c:v>
                </c:pt>
                <c:pt idx="14">
                  <c:v>86.397400185701017</c:v>
                </c:pt>
                <c:pt idx="15">
                  <c:v>85.78226555246053</c:v>
                </c:pt>
                <c:pt idx="16">
                  <c:v>89.032033426183844</c:v>
                </c:pt>
                <c:pt idx="17">
                  <c:v>88.335654596100284</c:v>
                </c:pt>
                <c:pt idx="18">
                  <c:v>88.718662952646241</c:v>
                </c:pt>
                <c:pt idx="19">
                  <c:v>87.639275766016709</c:v>
                </c:pt>
                <c:pt idx="20">
                  <c:v>90.064995357474459</c:v>
                </c:pt>
                <c:pt idx="21">
                  <c:v>88.99721448467966</c:v>
                </c:pt>
                <c:pt idx="22">
                  <c:v>88.498142989786444</c:v>
                </c:pt>
                <c:pt idx="23">
                  <c:v>87.581244196843073</c:v>
                </c:pt>
                <c:pt idx="24">
                  <c:v>91.515784586815229</c:v>
                </c:pt>
              </c:numCache>
            </c:numRef>
          </c:val>
          <c:smooth val="0"/>
          <c:extLst>
            <c:ext xmlns:c16="http://schemas.microsoft.com/office/drawing/2014/chart" uri="{C3380CC4-5D6E-409C-BE32-E72D297353CC}">
              <c16:uniqueId val="{00000001-65A5-4DCF-A935-D2FAB266814F}"/>
            </c:ext>
          </c:extLst>
        </c:ser>
        <c:ser>
          <c:idx val="1"/>
          <c:order val="2"/>
          <c:tx>
            <c:strRef>
              <c:f>Daten_Diagramme!$G$51</c:f>
              <c:strCache>
                <c:ptCount val="1"/>
                <c:pt idx="0">
                  <c:v>GeB - im Nebenjob</c:v>
                </c:pt>
              </c:strCache>
            </c:strRef>
          </c:tx>
          <c:spPr>
            <a:ln w="25400">
              <a:solidFill>
                <a:srgbClr val="C0C0C0"/>
              </a:solidFill>
              <a:prstDash val="solid"/>
            </a:ln>
          </c:spPr>
          <c:marker>
            <c:symbol val="none"/>
          </c:marker>
          <c:val>
            <c:numRef>
              <c:f>Daten_Diagramme!$G$52:$G$76</c:f>
              <c:numCache>
                <c:formatCode>0.0</c:formatCode>
                <c:ptCount val="25"/>
                <c:pt idx="0">
                  <c:v>100</c:v>
                </c:pt>
                <c:pt idx="1">
                  <c:v>101.63727959697732</c:v>
                </c:pt>
                <c:pt idx="2">
                  <c:v>101.54282115869017</c:v>
                </c:pt>
                <c:pt idx="3">
                  <c:v>96.85138539042822</c:v>
                </c:pt>
                <c:pt idx="4">
                  <c:v>97.040302267002517</c:v>
                </c:pt>
                <c:pt idx="5">
                  <c:v>100.40931989924434</c:v>
                </c:pt>
                <c:pt idx="6">
                  <c:v>97.638539042821165</c:v>
                </c:pt>
                <c:pt idx="7">
                  <c:v>98.047858942065488</c:v>
                </c:pt>
                <c:pt idx="8">
                  <c:v>103.3375314861461</c:v>
                </c:pt>
                <c:pt idx="9">
                  <c:v>107.65113350125945</c:v>
                </c:pt>
                <c:pt idx="10">
                  <c:v>103.27455919395464</c:v>
                </c:pt>
                <c:pt idx="11">
                  <c:v>102.45591939546598</c:v>
                </c:pt>
                <c:pt idx="12">
                  <c:v>106.51763224181362</c:v>
                </c:pt>
                <c:pt idx="13">
                  <c:v>108.12342569269522</c:v>
                </c:pt>
                <c:pt idx="14">
                  <c:v>107.9345088161209</c:v>
                </c:pt>
                <c:pt idx="15">
                  <c:v>106.45465994962218</c:v>
                </c:pt>
                <c:pt idx="16">
                  <c:v>109.35138539042822</c:v>
                </c:pt>
                <c:pt idx="17">
                  <c:v>111.52392947103276</c:v>
                </c:pt>
                <c:pt idx="18">
                  <c:v>110.73677581863979</c:v>
                </c:pt>
                <c:pt idx="19">
                  <c:v>110.79974811083125</c:v>
                </c:pt>
                <c:pt idx="20">
                  <c:v>113.09823677581865</c:v>
                </c:pt>
                <c:pt idx="21">
                  <c:v>117.53778337531486</c:v>
                </c:pt>
                <c:pt idx="22">
                  <c:v>117.91561712846348</c:v>
                </c:pt>
                <c:pt idx="23">
                  <c:v>115.08186397984888</c:v>
                </c:pt>
                <c:pt idx="24">
                  <c:v>118.07304785894206</c:v>
                </c:pt>
              </c:numCache>
            </c:numRef>
          </c:val>
          <c:smooth val="0"/>
          <c:extLst>
            <c:ext xmlns:c16="http://schemas.microsoft.com/office/drawing/2014/chart" uri="{C3380CC4-5D6E-409C-BE32-E72D297353CC}">
              <c16:uniqueId val="{00000002-65A5-4DCF-A935-D2FAB266814F}"/>
            </c:ext>
          </c:extLst>
        </c:ser>
        <c:ser>
          <c:idx val="3"/>
          <c:order val="3"/>
          <c:tx>
            <c:v/>
          </c:tx>
          <c:spPr>
            <a:ln w="12700">
              <a:solidFill>
                <a:srgbClr val="FFFFFF"/>
              </a:solidFill>
              <a:prstDash val="soli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3-65A5-4DCF-A935-D2FAB266814F}"/>
                </c:ext>
              </c:extLst>
            </c:dLbl>
            <c:dLbl>
              <c:idx val="1"/>
              <c:delete val="1"/>
              <c:extLst>
                <c:ext xmlns:c15="http://schemas.microsoft.com/office/drawing/2012/chart" uri="{CE6537A1-D6FC-4f65-9D91-7224C49458BB}"/>
                <c:ext xmlns:c16="http://schemas.microsoft.com/office/drawing/2014/chart" uri="{C3380CC4-5D6E-409C-BE32-E72D297353CC}">
                  <c16:uniqueId val="{00000004-65A5-4DCF-A935-D2FAB266814F}"/>
                </c:ext>
              </c:extLst>
            </c:dLbl>
            <c:dLbl>
              <c:idx val="2"/>
              <c:delete val="1"/>
              <c:extLst>
                <c:ext xmlns:c15="http://schemas.microsoft.com/office/drawing/2012/chart" uri="{CE6537A1-D6FC-4f65-9D91-7224C49458BB}"/>
                <c:ext xmlns:c16="http://schemas.microsoft.com/office/drawing/2014/chart" uri="{C3380CC4-5D6E-409C-BE32-E72D297353CC}">
                  <c16:uniqueId val="{00000005-65A5-4DCF-A935-D2FAB266814F}"/>
                </c:ext>
              </c:extLst>
            </c:dLbl>
            <c:dLbl>
              <c:idx val="3"/>
              <c:delete val="1"/>
              <c:extLst>
                <c:ext xmlns:c15="http://schemas.microsoft.com/office/drawing/2012/chart" uri="{CE6537A1-D6FC-4f65-9D91-7224C49458BB}"/>
                <c:ext xmlns:c16="http://schemas.microsoft.com/office/drawing/2014/chart" uri="{C3380CC4-5D6E-409C-BE32-E72D297353CC}">
                  <c16:uniqueId val="{00000006-65A5-4DCF-A935-D2FAB266814F}"/>
                </c:ext>
              </c:extLst>
            </c:dLbl>
            <c:dLbl>
              <c:idx val="4"/>
              <c:delete val="1"/>
              <c:extLst>
                <c:ext xmlns:c15="http://schemas.microsoft.com/office/drawing/2012/chart" uri="{CE6537A1-D6FC-4f65-9D91-7224C49458BB}"/>
                <c:ext xmlns:c16="http://schemas.microsoft.com/office/drawing/2014/chart" uri="{C3380CC4-5D6E-409C-BE32-E72D297353CC}">
                  <c16:uniqueId val="{00000007-65A5-4DCF-A935-D2FAB266814F}"/>
                </c:ext>
              </c:extLst>
            </c:dLbl>
            <c:dLbl>
              <c:idx val="5"/>
              <c:delete val="1"/>
              <c:extLst>
                <c:ext xmlns:c15="http://schemas.microsoft.com/office/drawing/2012/chart" uri="{CE6537A1-D6FC-4f65-9D91-7224C49458BB}"/>
                <c:ext xmlns:c16="http://schemas.microsoft.com/office/drawing/2014/chart" uri="{C3380CC4-5D6E-409C-BE32-E72D297353CC}">
                  <c16:uniqueId val="{00000008-65A5-4DCF-A935-D2FAB266814F}"/>
                </c:ext>
              </c:extLst>
            </c:dLbl>
            <c:dLbl>
              <c:idx val="6"/>
              <c:delete val="1"/>
              <c:extLst>
                <c:ext xmlns:c15="http://schemas.microsoft.com/office/drawing/2012/chart" uri="{CE6537A1-D6FC-4f65-9D91-7224C49458BB}"/>
                <c:ext xmlns:c16="http://schemas.microsoft.com/office/drawing/2014/chart" uri="{C3380CC4-5D6E-409C-BE32-E72D297353CC}">
                  <c16:uniqueId val="{00000009-65A5-4DCF-A935-D2FAB266814F}"/>
                </c:ext>
              </c:extLst>
            </c:dLbl>
            <c:dLbl>
              <c:idx val="7"/>
              <c:delete val="1"/>
              <c:extLst>
                <c:ext xmlns:c15="http://schemas.microsoft.com/office/drawing/2012/chart" uri="{CE6537A1-D6FC-4f65-9D91-7224C49458BB}"/>
                <c:ext xmlns:c16="http://schemas.microsoft.com/office/drawing/2014/chart" uri="{C3380CC4-5D6E-409C-BE32-E72D297353CC}">
                  <c16:uniqueId val="{0000000A-65A5-4DCF-A935-D2FAB266814F}"/>
                </c:ext>
              </c:extLst>
            </c:dLbl>
            <c:dLbl>
              <c:idx val="8"/>
              <c:delete val="1"/>
              <c:extLst>
                <c:ext xmlns:c15="http://schemas.microsoft.com/office/drawing/2012/chart" uri="{CE6537A1-D6FC-4f65-9D91-7224C49458BB}"/>
                <c:ext xmlns:c16="http://schemas.microsoft.com/office/drawing/2014/chart" uri="{C3380CC4-5D6E-409C-BE32-E72D297353CC}">
                  <c16:uniqueId val="{0000000B-65A5-4DCF-A935-D2FAB266814F}"/>
                </c:ext>
              </c:extLst>
            </c:dLbl>
            <c:dLbl>
              <c:idx val="9"/>
              <c:delete val="1"/>
              <c:extLst>
                <c:ext xmlns:c15="http://schemas.microsoft.com/office/drawing/2012/chart" uri="{CE6537A1-D6FC-4f65-9D91-7224C49458BB}"/>
                <c:ext xmlns:c16="http://schemas.microsoft.com/office/drawing/2014/chart" uri="{C3380CC4-5D6E-409C-BE32-E72D297353CC}">
                  <c16:uniqueId val="{0000000C-65A5-4DCF-A935-D2FAB266814F}"/>
                </c:ext>
              </c:extLst>
            </c:dLbl>
            <c:dLbl>
              <c:idx val="10"/>
              <c:delete val="1"/>
              <c:extLst>
                <c:ext xmlns:c15="http://schemas.microsoft.com/office/drawing/2012/chart" uri="{CE6537A1-D6FC-4f65-9D91-7224C49458BB}"/>
                <c:ext xmlns:c16="http://schemas.microsoft.com/office/drawing/2014/chart" uri="{C3380CC4-5D6E-409C-BE32-E72D297353CC}">
                  <c16:uniqueId val="{0000000D-65A5-4DCF-A935-D2FAB266814F}"/>
                </c:ext>
              </c:extLst>
            </c:dLbl>
            <c:dLbl>
              <c:idx val="11"/>
              <c:delete val="1"/>
              <c:extLst>
                <c:ext xmlns:c15="http://schemas.microsoft.com/office/drawing/2012/chart" uri="{CE6537A1-D6FC-4f65-9D91-7224C49458BB}"/>
                <c:ext xmlns:c16="http://schemas.microsoft.com/office/drawing/2014/chart" uri="{C3380CC4-5D6E-409C-BE32-E72D297353CC}">
                  <c16:uniqueId val="{0000000E-65A5-4DCF-A935-D2FAB266814F}"/>
                </c:ext>
              </c:extLst>
            </c:dLbl>
            <c:dLbl>
              <c:idx val="12"/>
              <c:delete val="1"/>
              <c:extLst>
                <c:ext xmlns:c15="http://schemas.microsoft.com/office/drawing/2012/chart" uri="{CE6537A1-D6FC-4f65-9D91-7224C49458BB}"/>
                <c:ext xmlns:c16="http://schemas.microsoft.com/office/drawing/2014/chart" uri="{C3380CC4-5D6E-409C-BE32-E72D297353CC}">
                  <c16:uniqueId val="{0000000F-65A5-4DCF-A935-D2FAB266814F}"/>
                </c:ext>
              </c:extLst>
            </c:dLbl>
            <c:dLbl>
              <c:idx val="13"/>
              <c:tx>
                <c:rich>
                  <a:bodyPr/>
                  <a:lstStyle/>
                  <a:p>
                    <a:r>
                      <a:rPr lang="de-DE"/>
                      <a:t>Diagrammdarstellung wegen fehlender Daten nicht möglich.</a:t>
                    </a:r>
                  </a:p>
                </c:rich>
              </c:tx>
              <c:dLblPos val="ct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65A5-4DCF-A935-D2FAB266814F}"/>
                </c:ext>
              </c:extLst>
            </c:dLbl>
            <c:dLbl>
              <c:idx val="14"/>
              <c:delete val="1"/>
              <c:extLst>
                <c:ext xmlns:c15="http://schemas.microsoft.com/office/drawing/2012/chart" uri="{CE6537A1-D6FC-4f65-9D91-7224C49458BB}"/>
                <c:ext xmlns:c16="http://schemas.microsoft.com/office/drawing/2014/chart" uri="{C3380CC4-5D6E-409C-BE32-E72D297353CC}">
                  <c16:uniqueId val="{00000011-65A5-4DCF-A935-D2FAB266814F}"/>
                </c:ext>
              </c:extLst>
            </c:dLbl>
            <c:dLbl>
              <c:idx val="15"/>
              <c:delete val="1"/>
              <c:extLst>
                <c:ext xmlns:c15="http://schemas.microsoft.com/office/drawing/2012/chart" uri="{CE6537A1-D6FC-4f65-9D91-7224C49458BB}"/>
                <c:ext xmlns:c16="http://schemas.microsoft.com/office/drawing/2014/chart" uri="{C3380CC4-5D6E-409C-BE32-E72D297353CC}">
                  <c16:uniqueId val="{00000012-65A5-4DCF-A935-D2FAB266814F}"/>
                </c:ext>
              </c:extLst>
            </c:dLbl>
            <c:dLbl>
              <c:idx val="16"/>
              <c:delete val="1"/>
              <c:extLst>
                <c:ext xmlns:c15="http://schemas.microsoft.com/office/drawing/2012/chart" uri="{CE6537A1-D6FC-4f65-9D91-7224C49458BB}"/>
                <c:ext xmlns:c16="http://schemas.microsoft.com/office/drawing/2014/chart" uri="{C3380CC4-5D6E-409C-BE32-E72D297353CC}">
                  <c16:uniqueId val="{00000013-65A5-4DCF-A935-D2FAB266814F}"/>
                </c:ext>
              </c:extLst>
            </c:dLbl>
            <c:dLbl>
              <c:idx val="17"/>
              <c:delete val="1"/>
              <c:extLst>
                <c:ext xmlns:c15="http://schemas.microsoft.com/office/drawing/2012/chart" uri="{CE6537A1-D6FC-4f65-9D91-7224C49458BB}"/>
                <c:ext xmlns:c16="http://schemas.microsoft.com/office/drawing/2014/chart" uri="{C3380CC4-5D6E-409C-BE32-E72D297353CC}">
                  <c16:uniqueId val="{00000014-65A5-4DCF-A935-D2FAB266814F}"/>
                </c:ext>
              </c:extLst>
            </c:dLbl>
            <c:dLbl>
              <c:idx val="18"/>
              <c:delete val="1"/>
              <c:extLst>
                <c:ext xmlns:c15="http://schemas.microsoft.com/office/drawing/2012/chart" uri="{CE6537A1-D6FC-4f65-9D91-7224C49458BB}"/>
                <c:ext xmlns:c16="http://schemas.microsoft.com/office/drawing/2014/chart" uri="{C3380CC4-5D6E-409C-BE32-E72D297353CC}">
                  <c16:uniqueId val="{00000015-65A5-4DCF-A935-D2FAB266814F}"/>
                </c:ext>
              </c:extLst>
            </c:dLbl>
            <c:dLbl>
              <c:idx val="19"/>
              <c:delete val="1"/>
              <c:extLst>
                <c:ext xmlns:c15="http://schemas.microsoft.com/office/drawing/2012/chart" uri="{CE6537A1-D6FC-4f65-9D91-7224C49458BB}"/>
                <c:ext xmlns:c16="http://schemas.microsoft.com/office/drawing/2014/chart" uri="{C3380CC4-5D6E-409C-BE32-E72D297353CC}">
                  <c16:uniqueId val="{00000016-65A5-4DCF-A935-D2FAB266814F}"/>
                </c:ext>
              </c:extLst>
            </c:dLbl>
            <c:dLbl>
              <c:idx val="20"/>
              <c:delete val="1"/>
              <c:extLst>
                <c:ext xmlns:c15="http://schemas.microsoft.com/office/drawing/2012/chart" uri="{CE6537A1-D6FC-4f65-9D91-7224C49458BB}"/>
                <c:ext xmlns:c16="http://schemas.microsoft.com/office/drawing/2014/chart" uri="{C3380CC4-5D6E-409C-BE32-E72D297353CC}">
                  <c16:uniqueId val="{00000017-65A5-4DCF-A935-D2FAB266814F}"/>
                </c:ext>
              </c:extLst>
            </c:dLbl>
            <c:dLbl>
              <c:idx val="21"/>
              <c:delete val="1"/>
              <c:extLst>
                <c:ext xmlns:c15="http://schemas.microsoft.com/office/drawing/2012/chart" uri="{CE6537A1-D6FC-4f65-9D91-7224C49458BB}"/>
                <c:ext xmlns:c16="http://schemas.microsoft.com/office/drawing/2014/chart" uri="{C3380CC4-5D6E-409C-BE32-E72D297353CC}">
                  <c16:uniqueId val="{00000018-65A5-4DCF-A935-D2FAB266814F}"/>
                </c:ext>
              </c:extLst>
            </c:dLbl>
            <c:dLbl>
              <c:idx val="22"/>
              <c:delete val="1"/>
              <c:extLst>
                <c:ext xmlns:c15="http://schemas.microsoft.com/office/drawing/2012/chart" uri="{CE6537A1-D6FC-4f65-9D91-7224C49458BB}"/>
                <c:ext xmlns:c16="http://schemas.microsoft.com/office/drawing/2014/chart" uri="{C3380CC4-5D6E-409C-BE32-E72D297353CC}">
                  <c16:uniqueId val="{00000019-65A5-4DCF-A935-D2FAB266814F}"/>
                </c:ext>
              </c:extLst>
            </c:dLbl>
            <c:dLbl>
              <c:idx val="23"/>
              <c:delete val="1"/>
              <c:extLst>
                <c:ext xmlns:c15="http://schemas.microsoft.com/office/drawing/2012/chart" uri="{CE6537A1-D6FC-4f65-9D91-7224C49458BB}"/>
                <c:ext xmlns:c16="http://schemas.microsoft.com/office/drawing/2014/chart" uri="{C3380CC4-5D6E-409C-BE32-E72D297353CC}">
                  <c16:uniqueId val="{0000001A-65A5-4DCF-A935-D2FAB266814F}"/>
                </c:ext>
              </c:extLst>
            </c:dLbl>
            <c:dLbl>
              <c:idx val="24"/>
              <c:delete val="1"/>
              <c:extLst>
                <c:ext xmlns:c15="http://schemas.microsoft.com/office/drawing/2012/chart" uri="{CE6537A1-D6FC-4f65-9D91-7224C49458BB}"/>
                <c:ext xmlns:c16="http://schemas.microsoft.com/office/drawing/2014/chart" uri="{C3380CC4-5D6E-409C-BE32-E72D297353CC}">
                  <c16:uniqueId val="{0000001B-65A5-4DCF-A935-D2FAB266814F}"/>
                </c:ext>
              </c:extLst>
            </c:dLbl>
            <c:spPr>
              <a:noFill/>
              <a:ln w="25400">
                <a:noFill/>
              </a:ln>
            </c:spPr>
            <c:txPr>
              <a:bodyPr/>
              <a:lstStyle/>
              <a:p>
                <a:pPr>
                  <a:defRPr sz="900" b="0" i="0" u="none" strike="noStrike" baseline="0">
                    <a:solidFill>
                      <a:srgbClr val="000000"/>
                    </a:solidFill>
                    <a:latin typeface="Arial"/>
                    <a:ea typeface="Arial"/>
                    <a:cs typeface="Arial"/>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Daten_Diagramme!$H$52:$H$76</c:f>
              <c:strCache>
                <c:ptCount val="22"/>
                <c:pt idx="1">
                  <c:v>Sep 19</c:v>
                </c:pt>
                <c:pt idx="5">
                  <c:v>Sep 20</c:v>
                </c:pt>
                <c:pt idx="9">
                  <c:v>Sep 21</c:v>
                </c:pt>
                <c:pt idx="13">
                  <c:v>Sep 22</c:v>
                </c:pt>
                <c:pt idx="17">
                  <c:v>Sep 23</c:v>
                </c:pt>
                <c:pt idx="21">
                  <c:v>Sep 24</c:v>
                </c:pt>
              </c:strCache>
            </c:strRef>
          </c:cat>
          <c:val>
            <c:numRef>
              <c:f>Daten_Diagramme!$B$52:$B$76</c:f>
              <c:numCache>
                <c:formatCode>#,##0</c:formatCode>
                <c:ptCount val="25"/>
                <c:pt idx="0">
                  <c:v>86989</c:v>
                </c:pt>
                <c:pt idx="1">
                  <c:v>88284</c:v>
                </c:pt>
                <c:pt idx="2">
                  <c:v>87371</c:v>
                </c:pt>
                <c:pt idx="3">
                  <c:v>86862</c:v>
                </c:pt>
                <c:pt idx="4">
                  <c:v>86599</c:v>
                </c:pt>
                <c:pt idx="5">
                  <c:v>87903</c:v>
                </c:pt>
                <c:pt idx="6">
                  <c:v>87361</c:v>
                </c:pt>
                <c:pt idx="7">
                  <c:v>86575</c:v>
                </c:pt>
                <c:pt idx="8">
                  <c:v>87376</c:v>
                </c:pt>
                <c:pt idx="9">
                  <c:v>88788</c:v>
                </c:pt>
                <c:pt idx="10">
                  <c:v>88381</c:v>
                </c:pt>
                <c:pt idx="11">
                  <c:v>88346</c:v>
                </c:pt>
                <c:pt idx="12">
                  <c:v>88343</c:v>
                </c:pt>
                <c:pt idx="13">
                  <c:v>89273</c:v>
                </c:pt>
                <c:pt idx="14">
                  <c:v>89211</c:v>
                </c:pt>
                <c:pt idx="15">
                  <c:v>88773</c:v>
                </c:pt>
                <c:pt idx="16">
                  <c:v>89136</c:v>
                </c:pt>
                <c:pt idx="17">
                  <c:v>89545</c:v>
                </c:pt>
                <c:pt idx="18">
                  <c:v>88654</c:v>
                </c:pt>
                <c:pt idx="19">
                  <c:v>87819</c:v>
                </c:pt>
                <c:pt idx="20">
                  <c:v>88265</c:v>
                </c:pt>
                <c:pt idx="21">
                  <c:v>89302</c:v>
                </c:pt>
                <c:pt idx="22">
                  <c:v>88337</c:v>
                </c:pt>
                <c:pt idx="23">
                  <c:v>87355</c:v>
                </c:pt>
                <c:pt idx="24">
                  <c:v>87540</c:v>
                </c:pt>
              </c:numCache>
            </c:numRef>
          </c:val>
          <c:smooth val="0"/>
          <c:extLst>
            <c:ext xmlns:c16="http://schemas.microsoft.com/office/drawing/2014/chart" uri="{C3380CC4-5D6E-409C-BE32-E72D297353CC}">
              <c16:uniqueId val="{0000001C-65A5-4DCF-A935-D2FAB266814F}"/>
            </c:ext>
          </c:extLst>
        </c:ser>
        <c:dLbls>
          <c:showLegendKey val="0"/>
          <c:showVal val="0"/>
          <c:showCatName val="0"/>
          <c:showSerName val="0"/>
          <c:showPercent val="0"/>
          <c:showBubbleSize val="0"/>
        </c:dLbls>
        <c:smooth val="0"/>
        <c:axId val="297632896"/>
        <c:axId val="297635248"/>
      </c:lineChart>
      <c:catAx>
        <c:axId val="29763289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50" b="0" i="0" u="none" strike="noStrike" baseline="0">
                <a:solidFill>
                  <a:srgbClr val="000000"/>
                </a:solidFill>
                <a:latin typeface="Arial"/>
                <a:ea typeface="Arial"/>
                <a:cs typeface="Arial"/>
              </a:defRPr>
            </a:pPr>
            <a:endParaRPr lang="de-DE"/>
          </a:p>
        </c:txPr>
        <c:crossAx val="297635248"/>
        <c:crossesAt val="0"/>
        <c:auto val="1"/>
        <c:lblAlgn val="ctr"/>
        <c:lblOffset val="100"/>
        <c:tickLblSkip val="1"/>
        <c:tickMarkSkip val="1"/>
        <c:noMultiLvlLbl val="0"/>
      </c:catAx>
      <c:valAx>
        <c:axId val="297635248"/>
        <c:scaling>
          <c:orientation val="minMax"/>
          <c:max val="250"/>
          <c:min val="0"/>
        </c:scaling>
        <c:delete val="0"/>
        <c:axPos val="l"/>
        <c:numFmt formatCode="0" sourceLinked="0"/>
        <c:majorTickMark val="out"/>
        <c:minorTickMark val="none"/>
        <c:tickLblPos val="nextTo"/>
        <c:spPr>
          <a:ln w="3175">
            <a:solidFill>
              <a:srgbClr val="000000"/>
            </a:solidFill>
            <a:prstDash val="solid"/>
          </a:ln>
        </c:spPr>
        <c:txPr>
          <a:bodyPr rot="0" vert="horz"/>
          <a:lstStyle/>
          <a:p>
            <a:pPr>
              <a:defRPr sz="850" b="0" i="0" u="none" strike="noStrike" baseline="0">
                <a:solidFill>
                  <a:srgbClr val="000000"/>
                </a:solidFill>
                <a:latin typeface="Arial"/>
                <a:ea typeface="Arial"/>
                <a:cs typeface="Arial"/>
              </a:defRPr>
            </a:pPr>
            <a:endParaRPr lang="de-DE"/>
          </a:p>
        </c:txPr>
        <c:crossAx val="297632896"/>
        <c:crosses val="autoZero"/>
        <c:crossBetween val="between"/>
        <c:majorUnit val="50"/>
        <c:minorUnit val="10"/>
      </c:valAx>
      <c:spPr>
        <a:noFill/>
        <a:ln w="25400">
          <a:noFill/>
        </a:ln>
      </c:spPr>
    </c:plotArea>
    <c:legend>
      <c:legendPos val="r"/>
      <c:layout>
        <c:manualLayout>
          <c:xMode val="edge"/>
          <c:yMode val="edge"/>
          <c:x val="0.26368726814176158"/>
          <c:y val="1.5673981191222569E-2"/>
          <c:w val="0.60893889939735191"/>
          <c:h val="6.269592476489029E-2"/>
        </c:manualLayout>
      </c:layout>
      <c:overlay val="0"/>
      <c:spPr>
        <a:noFill/>
        <a:ln w="25400">
          <a:noFill/>
        </a:ln>
      </c:spPr>
      <c:txPr>
        <a:bodyPr/>
        <a:lstStyle/>
        <a:p>
          <a:pPr>
            <a:defRPr sz="735" b="0" i="0" u="none" strike="noStrike" baseline="0">
              <a:solidFill>
                <a:srgbClr val="000000"/>
              </a:solidFill>
              <a:latin typeface="Arial"/>
              <a:ea typeface="Arial"/>
              <a:cs typeface="Arial"/>
            </a:defRPr>
          </a:pPr>
          <a:endParaRPr lang="de-DE"/>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de-DE"/>
    </a:p>
  </c:txPr>
  <c:printSettings>
    <c:headerFooter alignWithMargins="0"/>
    <c:pageMargins b="0.98425196850393659" l="0.78740157480314954" r="0.78740157480314954" t="0.98425196850393659" header="0.51181102362204722" footer="0.51181102362204722"/>
    <c:pageSetup paperSize="9" orientation="landscape"/>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Inhaltsverzeichnis!A1"/><Relationship Id="rId5" Type="http://schemas.openxmlformats.org/officeDocument/2006/relationships/image" Target="../media/image4.jpeg"/><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4.jpeg"/></Relationships>
</file>

<file path=xl/drawings/_rels/drawing11.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4.jpeg"/></Relationships>
</file>

<file path=xl/drawings/_rels/drawing15.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4.jpeg"/></Relationships>
</file>

<file path=xl/drawings/_rels/drawing17.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4.jpeg"/></Relationships>
</file>

<file path=xl/drawings/_rels/drawing1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hyperlink" Target="#Inhaltsverzeichnis!A1"/><Relationship Id="rId4" Type="http://schemas.openxmlformats.org/officeDocument/2006/relationships/chart" Target="../charts/chart7.xml"/></Relationships>
</file>

<file path=xl/drawings/_rels/drawing20.xml.rels><?xml version="1.0" encoding="UTF-8" standalone="yes"?>
<Relationships xmlns="http://schemas.openxmlformats.org/package/2006/relationships"><Relationship Id="rId2" Type="http://schemas.openxmlformats.org/officeDocument/2006/relationships/hyperlink" Target="#Inhaltsverzeichnis!A1"/><Relationship Id="rId1" Type="http://schemas.openxmlformats.org/officeDocument/2006/relationships/image" Target="../media/image6.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3.emf"/></Relationships>
</file>

<file path=xl/drawings/_rels/drawing22.xml.rels><?xml version="1.0" encoding="UTF-8" standalone="yes"?>
<Relationships xmlns="http://schemas.openxmlformats.org/package/2006/relationships"><Relationship Id="rId1" Type="http://schemas.openxmlformats.org/officeDocument/2006/relationships/image" Target="../media/image3.emf"/></Relationships>
</file>

<file path=xl/drawings/_rels/drawing23.xml.rels><?xml version="1.0" encoding="UTF-8" standalone="yes"?>
<Relationships xmlns="http://schemas.openxmlformats.org/package/2006/relationships"><Relationship Id="rId1" Type="http://schemas.openxmlformats.org/officeDocument/2006/relationships/image" Target="../media/image6.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jpeg"/></Relationships>
</file>

<file path=xl/drawings/_rels/drawing25.xml.rels><?xml version="1.0" encoding="UTF-8" standalone="yes"?>
<Relationships xmlns="http://schemas.openxmlformats.org/package/2006/relationships"><Relationship Id="rId1" Type="http://schemas.openxmlformats.org/officeDocument/2006/relationships/hyperlink" Target="#Inhaltsverzeichnis!A1"/></Relationships>
</file>

<file path=xl/drawings/_rels/drawing26.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203200</xdr:colOff>
      <xdr:row>13</xdr:row>
      <xdr:rowOff>9525</xdr:rowOff>
    </xdr:from>
    <xdr:to>
      <xdr:col>8</xdr:col>
      <xdr:colOff>561975</xdr:colOff>
      <xdr:row>58</xdr:row>
      <xdr:rowOff>152400</xdr:rowOff>
    </xdr:to>
    <xdr:pic>
      <xdr:nvPicPr>
        <xdr:cNvPr id="2" name="Grafik 18">
          <a:extLst>
            <a:ext uri="{FF2B5EF4-FFF2-40B4-BE49-F238E27FC236}">
              <a16:creationId xmlns:a16="http://schemas.microsoft.com/office/drawing/2014/main" id="{99EF9F55-7A50-4644-B6E1-CE8463BF39B0}"/>
            </a:ext>
          </a:extLst>
        </xdr:cNvPr>
        <xdr:cNvPicPr>
          <a:picLocks/>
        </xdr:cNvPicPr>
      </xdr:nvPicPr>
      <xdr:blipFill>
        <a:blip xmlns:r="http://schemas.openxmlformats.org/officeDocument/2006/relationships" r:embed="rId1"/>
        <a:stretch>
          <a:fillRect/>
        </a:stretch>
      </xdr:blipFill>
      <xdr:spPr>
        <a:xfrm>
          <a:off x="203200" y="2114550"/>
          <a:ext cx="6797675" cy="7429500"/>
        </a:xfrm>
        <a:prstGeom prst="rect">
          <a:avLst/>
        </a:prstGeom>
      </xdr:spPr>
    </xdr:pic>
    <xdr:clientData/>
  </xdr:twoCellAnchor>
  <xdr:twoCellAnchor editAs="oneCell">
    <xdr:from>
      <xdr:col>0</xdr:col>
      <xdr:colOff>127000</xdr:colOff>
      <xdr:row>0</xdr:row>
      <xdr:rowOff>0</xdr:rowOff>
    </xdr:from>
    <xdr:to>
      <xdr:col>8</xdr:col>
      <xdr:colOff>555625</xdr:colOff>
      <xdr:row>14</xdr:row>
      <xdr:rowOff>88900</xdr:rowOff>
    </xdr:to>
    <xdr:pic>
      <xdr:nvPicPr>
        <xdr:cNvPr id="3" name="Bild 14">
          <a:extLst>
            <a:ext uri="{FF2B5EF4-FFF2-40B4-BE49-F238E27FC236}">
              <a16:creationId xmlns:a16="http://schemas.microsoft.com/office/drawing/2014/main" id="{CD72A021-F848-4997-9368-7C3EC89E074C}"/>
            </a:ext>
          </a:extLst>
        </xdr:cNvPr>
        <xdr:cNvPicPr>
          <a:picLocks/>
        </xdr:cNvPicPr>
      </xdr:nvPicPr>
      <xdr:blipFill>
        <a:blip xmlns:r="http://schemas.openxmlformats.org/officeDocument/2006/relationships" r:embed="rId2"/>
        <a:stretch>
          <a:fillRect/>
        </a:stretch>
      </xdr:blipFill>
      <xdr:spPr>
        <a:xfrm>
          <a:off x="127000" y="0"/>
          <a:ext cx="6867525" cy="2355850"/>
        </a:xfrm>
        <a:prstGeom prst="rect">
          <a:avLst/>
        </a:prstGeom>
      </xdr:spPr>
    </xdr:pic>
    <xdr:clientData/>
  </xdr:twoCellAnchor>
  <xdr:twoCellAnchor editAs="oneCell">
    <xdr:from>
      <xdr:col>0</xdr:col>
      <xdr:colOff>257175</xdr:colOff>
      <xdr:row>55</xdr:row>
      <xdr:rowOff>131989</xdr:rowOff>
    </xdr:from>
    <xdr:to>
      <xdr:col>3</xdr:col>
      <xdr:colOff>253676</xdr:colOff>
      <xdr:row>58</xdr:row>
      <xdr:rowOff>99604</xdr:rowOff>
    </xdr:to>
    <xdr:pic>
      <xdr:nvPicPr>
        <xdr:cNvPr id="4" name="Bild 2">
          <a:extLst>
            <a:ext uri="{FF2B5EF4-FFF2-40B4-BE49-F238E27FC236}">
              <a16:creationId xmlns:a16="http://schemas.microsoft.com/office/drawing/2014/main" id="{3FCE3F39-AA64-4FCB-8BE1-2514F1964C07}"/>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257175" y="9037864"/>
          <a:ext cx="2025326" cy="453390"/>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twoCellAnchor>
  <xdr:twoCellAnchor>
    <xdr:from>
      <xdr:col>0</xdr:col>
      <xdr:colOff>758031</xdr:colOff>
      <xdr:row>2</xdr:row>
      <xdr:rowOff>69057</xdr:rowOff>
    </xdr:from>
    <xdr:to>
      <xdr:col>7</xdr:col>
      <xdr:colOff>977106</xdr:colOff>
      <xdr:row>3</xdr:row>
      <xdr:rowOff>126207</xdr:rowOff>
    </xdr:to>
    <xdr:sp macro="" textlink="">
      <xdr:nvSpPr>
        <xdr:cNvPr id="5" name="Kopfbereich">
          <a:extLst>
            <a:ext uri="{FF2B5EF4-FFF2-40B4-BE49-F238E27FC236}">
              <a16:creationId xmlns:a16="http://schemas.microsoft.com/office/drawing/2014/main" id="{0A7CABAB-A3F5-4D8C-A4A0-A709C7672951}"/>
            </a:ext>
          </a:extLst>
        </xdr:cNvPr>
        <xdr:cNvSpPr txBox="1"/>
      </xdr:nvSpPr>
      <xdr:spPr>
        <a:xfrm>
          <a:off x="758031" y="392907"/>
          <a:ext cx="5553075" cy="219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de-DE" sz="1100">
              <a:solidFill>
                <a:srgbClr xmlns:mc="http://schemas.openxmlformats.org/markup-compatibility/2006" xmlns:a14="http://schemas.microsoft.com/office/drawing/2010/main" val="FFFFFF" mc:Ignorable="a14" a14:legacySpreadsheetColorIndex="9"/>
              </a:solidFill>
              <a:latin typeface="Arial" panose="020B0604020202020204" pitchFamily="34" charset="0"/>
              <a:ea typeface="+mn-ea"/>
              <a:cs typeface="Arial" panose="020B0604020202020204" pitchFamily="34" charset="0"/>
            </a:rPr>
            <a:t>Tabellen</a:t>
          </a:r>
        </a:p>
      </xdr:txBody>
    </xdr:sp>
    <xdr:clientData/>
  </xdr:twoCellAnchor>
  <xdr:twoCellAnchor>
    <xdr:from>
      <xdr:col>0</xdr:col>
      <xdr:colOff>746126</xdr:colOff>
      <xdr:row>5</xdr:row>
      <xdr:rowOff>14289</xdr:rowOff>
    </xdr:from>
    <xdr:to>
      <xdr:col>7</xdr:col>
      <xdr:colOff>917576</xdr:colOff>
      <xdr:row>9</xdr:row>
      <xdr:rowOff>47625</xdr:rowOff>
    </xdr:to>
    <xdr:sp macro="" textlink="">
      <xdr:nvSpPr>
        <xdr:cNvPr id="6" name="Titel">
          <a:extLst>
            <a:ext uri="{FF2B5EF4-FFF2-40B4-BE49-F238E27FC236}">
              <a16:creationId xmlns:a16="http://schemas.microsoft.com/office/drawing/2014/main" id="{6884A559-C7F7-42EE-97A1-F7CB32FA56EC}"/>
            </a:ext>
          </a:extLst>
        </xdr:cNvPr>
        <xdr:cNvSpPr txBox="1"/>
      </xdr:nvSpPr>
      <xdr:spPr>
        <a:xfrm>
          <a:off x="746126" y="823914"/>
          <a:ext cx="5505450" cy="681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de-DE" sz="2200" b="1" i="0">
              <a:solidFill>
                <a:srgbClr xmlns:mc="http://schemas.openxmlformats.org/markup-compatibility/2006" xmlns:a14="http://schemas.microsoft.com/office/drawing/2010/main" val="FFFFFF" mc:Ignorable="a14" a14:legacySpreadsheetColorIndex="9"/>
              </a:solidFill>
              <a:latin typeface="Arial" panose="020B0604020202020204" pitchFamily="34" charset="0"/>
              <a:ea typeface="+mn-ea"/>
              <a:cs typeface="Arial" panose="020B0604020202020204" pitchFamily="34" charset="0"/>
            </a:rPr>
            <a:t>Regionalreport</a:t>
          </a:r>
          <a:r>
            <a:rPr lang="de-DE" sz="2200" b="1" i="0" baseline="0">
              <a:solidFill>
                <a:srgbClr xmlns:mc="http://schemas.openxmlformats.org/markup-compatibility/2006" xmlns:a14="http://schemas.microsoft.com/office/drawing/2010/main" val="FFFFFF" mc:Ignorable="a14" a14:legacySpreadsheetColorIndex="9"/>
              </a:solidFill>
              <a:latin typeface="Arial" panose="020B0604020202020204" pitchFamily="34" charset="0"/>
              <a:ea typeface="+mn-ea"/>
              <a:cs typeface="Arial" panose="020B0604020202020204" pitchFamily="34" charset="0"/>
            </a:rPr>
            <a:t> über </a:t>
          </a:r>
          <a:r>
            <a:rPr lang="de-DE" sz="2200" b="1" i="0">
              <a:solidFill>
                <a:srgbClr xmlns:mc="http://schemas.openxmlformats.org/markup-compatibility/2006" xmlns:a14="http://schemas.microsoft.com/office/drawing/2010/main" val="FFFFFF" mc:Ignorable="a14" a14:legacySpreadsheetColorIndex="9"/>
              </a:solidFill>
              <a:latin typeface="Arial" panose="020B0604020202020204" pitchFamily="34" charset="0"/>
              <a:ea typeface="+mn-ea"/>
              <a:cs typeface="Arial" panose="020B0604020202020204" pitchFamily="34" charset="0"/>
            </a:rPr>
            <a:t>Beschäftigte (Quartalszahlen)</a:t>
          </a:r>
        </a:p>
      </xdr:txBody>
    </xdr:sp>
    <xdr:clientData/>
  </xdr:twoCellAnchor>
  <xdr:twoCellAnchor>
    <xdr:from>
      <xdr:col>1</xdr:col>
      <xdr:colOff>3175</xdr:colOff>
      <xdr:row>9</xdr:row>
      <xdr:rowOff>64293</xdr:rowOff>
    </xdr:from>
    <xdr:to>
      <xdr:col>7</xdr:col>
      <xdr:colOff>1212850</xdr:colOff>
      <xdr:row>10</xdr:row>
      <xdr:rowOff>152400</xdr:rowOff>
    </xdr:to>
    <xdr:sp macro="" textlink="">
      <xdr:nvSpPr>
        <xdr:cNvPr id="7" name="Region">
          <a:extLst>
            <a:ext uri="{FF2B5EF4-FFF2-40B4-BE49-F238E27FC236}">
              <a16:creationId xmlns:a16="http://schemas.microsoft.com/office/drawing/2014/main" id="{1E181435-34F0-480B-9E4F-F45FF026400D}"/>
            </a:ext>
          </a:extLst>
        </xdr:cNvPr>
        <xdr:cNvSpPr txBox="1"/>
      </xdr:nvSpPr>
      <xdr:spPr>
        <a:xfrm>
          <a:off x="765175" y="1521618"/>
          <a:ext cx="5781675" cy="250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de-DE" sz="1200">
              <a:solidFill>
                <a:srgbClr xmlns:mc="http://schemas.openxmlformats.org/markup-compatibility/2006" xmlns:a14="http://schemas.microsoft.com/office/drawing/2010/main" val="FFFFFF" mc:Ignorable="a14" a14:legacySpreadsheetColorIndex="9"/>
              </a:solidFill>
              <a:latin typeface="Arial" panose="020B0604020202020204" pitchFamily="34" charset="0"/>
              <a:ea typeface="+mn-ea"/>
              <a:cs typeface="Arial" panose="020B0604020202020204" pitchFamily="34" charset="0"/>
            </a:rPr>
            <a:t>Görlitz (14626)</a:t>
          </a:r>
        </a:p>
      </xdr:txBody>
    </xdr:sp>
    <xdr:clientData/>
  </xdr:twoCellAnchor>
  <xdr:twoCellAnchor>
    <xdr:from>
      <xdr:col>1</xdr:col>
      <xdr:colOff>0</xdr:colOff>
      <xdr:row>11</xdr:row>
      <xdr:rowOff>4763</xdr:rowOff>
    </xdr:from>
    <xdr:to>
      <xdr:col>5</xdr:col>
      <xdr:colOff>9525</xdr:colOff>
      <xdr:row>12</xdr:row>
      <xdr:rowOff>104775</xdr:rowOff>
    </xdr:to>
    <xdr:sp macro="" textlink="">
      <xdr:nvSpPr>
        <xdr:cNvPr id="8" name="Berichtsmonat">
          <a:extLst>
            <a:ext uri="{FF2B5EF4-FFF2-40B4-BE49-F238E27FC236}">
              <a16:creationId xmlns:a16="http://schemas.microsoft.com/office/drawing/2014/main" id="{7A54757F-4998-409E-927E-4C32A9404B55}"/>
            </a:ext>
          </a:extLst>
        </xdr:cNvPr>
        <xdr:cNvSpPr txBox="1"/>
      </xdr:nvSpPr>
      <xdr:spPr>
        <a:xfrm>
          <a:off x="762000" y="1785938"/>
          <a:ext cx="3057525" cy="2619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de-DE" sz="1200">
              <a:solidFill>
                <a:srgbClr xmlns:mc="http://schemas.openxmlformats.org/markup-compatibility/2006" xmlns:a14="http://schemas.microsoft.com/office/drawing/2010/main" val="FFFFFF" mc:Ignorable="a14" a14:legacySpreadsheetColorIndex="9"/>
              </a:solidFill>
              <a:latin typeface="Arial" panose="020B0604020202020204" pitchFamily="34" charset="0"/>
              <a:ea typeface="+mn-ea"/>
              <a:cs typeface="Arial" panose="020B0604020202020204" pitchFamily="34" charset="0"/>
            </a:rPr>
            <a:t>Stichtag: 30. Juni 2025</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823411" cy="376863"/>
    <xdr:pic>
      <xdr:nvPicPr>
        <xdr:cNvPr id="2" name="BA-Logo" descr="Logo der Bundesagentur für Arbeit Statistik">
          <a:extLst>
            <a:ext uri="{FF2B5EF4-FFF2-40B4-BE49-F238E27FC236}">
              <a16:creationId xmlns:a16="http://schemas.microsoft.com/office/drawing/2014/main" id="{162B9235-4138-4C05-84DC-899B977C49DA}"/>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pic="http://schemas.openxmlformats.org/drawingml/2006/picture" xmlns:wps="http://schemas.microsoft.com/office/word/2010/wordprocessingShape" xmlns:wne="http://schemas.microsoft.com/office/word/2006/wordml" xmlns:wpi="http://schemas.microsoft.com/office/word/2010/wordprocessingInk" xmlns:wpg="http://schemas.microsoft.com/office/word/2010/wordprocessingGroup"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mc="http://schemas.openxmlformats.org/markup-compatibility/2006" xmlns:wpc="http://schemas.microsoft.com/office/word/2010/wordprocessingCanvas"/>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2</xdr:col>
      <xdr:colOff>600075</xdr:colOff>
      <xdr:row>1</xdr:row>
      <xdr:rowOff>0</xdr:rowOff>
    </xdr:to>
    <xdr:pic>
      <xdr:nvPicPr>
        <xdr:cNvPr id="2" name="Picture 3" descr="Statistik-4c-200">
          <a:extLst>
            <a:ext uri="{FF2B5EF4-FFF2-40B4-BE49-F238E27FC236}">
              <a16:creationId xmlns:a16="http://schemas.microsoft.com/office/drawing/2014/main" id="{179482F2-A4C2-48F8-B30E-84678A227E7D}"/>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8100"/>
          <a:ext cx="1905000" cy="39052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2</xdr:col>
      <xdr:colOff>419100</xdr:colOff>
      <xdr:row>0</xdr:row>
      <xdr:rowOff>400050</xdr:rowOff>
    </xdr:to>
    <xdr:pic>
      <xdr:nvPicPr>
        <xdr:cNvPr id="2" name="rot" descr="Statistik-4c-200">
          <a:extLst>
            <a:ext uri="{FF2B5EF4-FFF2-40B4-BE49-F238E27FC236}">
              <a16:creationId xmlns:a16="http://schemas.microsoft.com/office/drawing/2014/main" id="{8AD27531-9BD3-4E63-949E-BA6A220D7786}"/>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editAs="oneCell">
    <xdr:from>
      <xdr:col>0</xdr:col>
      <xdr:colOff>19050</xdr:colOff>
      <xdr:row>0</xdr:row>
      <xdr:rowOff>9525</xdr:rowOff>
    </xdr:from>
    <xdr:to>
      <xdr:col>2</xdr:col>
      <xdr:colOff>419100</xdr:colOff>
      <xdr:row>0</xdr:row>
      <xdr:rowOff>400050</xdr:rowOff>
    </xdr:to>
    <xdr:pic>
      <xdr:nvPicPr>
        <xdr:cNvPr id="3" name="rot" descr="Statistik-4c-200">
          <a:extLst>
            <a:ext uri="{FF2B5EF4-FFF2-40B4-BE49-F238E27FC236}">
              <a16:creationId xmlns:a16="http://schemas.microsoft.com/office/drawing/2014/main" id="{B2DA7B29-927D-44E6-A433-FF6F47E48173}"/>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8</xdr:col>
      <xdr:colOff>22225</xdr:colOff>
      <xdr:row>1</xdr:row>
      <xdr:rowOff>66675</xdr:rowOff>
    </xdr:from>
    <xdr:to>
      <xdr:col>9</xdr:col>
      <xdr:colOff>593725</xdr:colOff>
      <xdr:row>2</xdr:row>
      <xdr:rowOff>219075</xdr:rowOff>
    </xdr:to>
    <xdr:sp macro="" textlink="">
      <xdr:nvSpPr>
        <xdr:cNvPr id="4" name="Inhalt">
          <a:hlinkClick xmlns:r="http://schemas.openxmlformats.org/officeDocument/2006/relationships" r:id="rId2"/>
          <a:extLst>
            <a:ext uri="{FF2B5EF4-FFF2-40B4-BE49-F238E27FC236}">
              <a16:creationId xmlns:a16="http://schemas.microsoft.com/office/drawing/2014/main" id="{B503E53B-33BD-4DA4-8C69-EA7FBB36C63A}"/>
            </a:ext>
          </a:extLst>
        </xdr:cNvPr>
        <xdr:cNvSpPr txBox="1"/>
      </xdr:nvSpPr>
      <xdr:spPr>
        <a:xfrm>
          <a:off x="5213350" y="533400"/>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twoCellAnchor editAs="oneCell">
    <xdr:from>
      <xdr:col>0</xdr:col>
      <xdr:colOff>19050</xdr:colOff>
      <xdr:row>0</xdr:row>
      <xdr:rowOff>9525</xdr:rowOff>
    </xdr:from>
    <xdr:to>
      <xdr:col>2</xdr:col>
      <xdr:colOff>419100</xdr:colOff>
      <xdr:row>0</xdr:row>
      <xdr:rowOff>400050</xdr:rowOff>
    </xdr:to>
    <xdr:pic>
      <xdr:nvPicPr>
        <xdr:cNvPr id="5" name="rot" descr="Statistik-4c-200">
          <a:extLst>
            <a:ext uri="{FF2B5EF4-FFF2-40B4-BE49-F238E27FC236}">
              <a16:creationId xmlns:a16="http://schemas.microsoft.com/office/drawing/2014/main" id="{6CE8B193-0832-4815-BBEE-7D61D80131DE}"/>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7</xdr:row>
      <xdr:rowOff>95250</xdr:rowOff>
    </xdr:from>
    <xdr:to>
      <xdr:col>5</xdr:col>
      <xdr:colOff>990600</xdr:colOff>
      <xdr:row>12</xdr:row>
      <xdr:rowOff>47625</xdr:rowOff>
    </xdr:to>
    <xdr:graphicFrame macro="">
      <xdr:nvGraphicFramePr>
        <xdr:cNvPr id="2" name="Chart 11">
          <a:extLst>
            <a:ext uri="{FF2B5EF4-FFF2-40B4-BE49-F238E27FC236}">
              <a16:creationId xmlns:a16="http://schemas.microsoft.com/office/drawing/2014/main" id="{106A61DC-8CBD-416F-BFD7-E7AE10695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7</xdr:row>
      <xdr:rowOff>95250</xdr:rowOff>
    </xdr:from>
    <xdr:to>
      <xdr:col>8</xdr:col>
      <xdr:colOff>990600</xdr:colOff>
      <xdr:row>12</xdr:row>
      <xdr:rowOff>47625</xdr:rowOff>
    </xdr:to>
    <xdr:graphicFrame macro="">
      <xdr:nvGraphicFramePr>
        <xdr:cNvPr id="3" name="Chart 12">
          <a:extLst>
            <a:ext uri="{FF2B5EF4-FFF2-40B4-BE49-F238E27FC236}">
              <a16:creationId xmlns:a16="http://schemas.microsoft.com/office/drawing/2014/main" id="{85804739-8473-44DD-9E8D-5135C3F15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14</xdr:row>
      <xdr:rowOff>38100</xdr:rowOff>
    </xdr:from>
    <xdr:to>
      <xdr:col>5</xdr:col>
      <xdr:colOff>990600</xdr:colOff>
      <xdr:row>43</xdr:row>
      <xdr:rowOff>19050</xdr:rowOff>
    </xdr:to>
    <xdr:graphicFrame macro="">
      <xdr:nvGraphicFramePr>
        <xdr:cNvPr id="4" name="Chart 13">
          <a:extLst>
            <a:ext uri="{FF2B5EF4-FFF2-40B4-BE49-F238E27FC236}">
              <a16:creationId xmlns:a16="http://schemas.microsoft.com/office/drawing/2014/main" id="{0CF66058-3DE4-4344-AB8F-1DE68A91B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9525</xdr:colOff>
      <xdr:row>14</xdr:row>
      <xdr:rowOff>38100</xdr:rowOff>
    </xdr:from>
    <xdr:to>
      <xdr:col>8</xdr:col>
      <xdr:colOff>990600</xdr:colOff>
      <xdr:row>43</xdr:row>
      <xdr:rowOff>19050</xdr:rowOff>
    </xdr:to>
    <xdr:graphicFrame macro="">
      <xdr:nvGraphicFramePr>
        <xdr:cNvPr id="5" name="Chart 14">
          <a:extLst>
            <a:ext uri="{FF2B5EF4-FFF2-40B4-BE49-F238E27FC236}">
              <a16:creationId xmlns:a16="http://schemas.microsoft.com/office/drawing/2014/main" id="{0231A7F2-4BD8-4AE3-8161-1B7129A287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19050</xdr:colOff>
      <xdr:row>0</xdr:row>
      <xdr:rowOff>9525</xdr:rowOff>
    </xdr:from>
    <xdr:to>
      <xdr:col>1</xdr:col>
      <xdr:colOff>1257300</xdr:colOff>
      <xdr:row>0</xdr:row>
      <xdr:rowOff>400050</xdr:rowOff>
    </xdr:to>
    <xdr:pic>
      <xdr:nvPicPr>
        <xdr:cNvPr id="6" name="rot" descr="Statistik-4c-200">
          <a:extLst>
            <a:ext uri="{FF2B5EF4-FFF2-40B4-BE49-F238E27FC236}">
              <a16:creationId xmlns:a16="http://schemas.microsoft.com/office/drawing/2014/main" id="{ECE8B9C6-9EE3-40A3-882A-2ECABCE8DA33}"/>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7</xdr:col>
      <xdr:colOff>755650</xdr:colOff>
      <xdr:row>2</xdr:row>
      <xdr:rowOff>0</xdr:rowOff>
    </xdr:from>
    <xdr:to>
      <xdr:col>8</xdr:col>
      <xdr:colOff>974725</xdr:colOff>
      <xdr:row>3</xdr:row>
      <xdr:rowOff>38100</xdr:rowOff>
    </xdr:to>
    <xdr:sp macro="" textlink="">
      <xdr:nvSpPr>
        <xdr:cNvPr id="7" name="Inhalt">
          <a:hlinkClick xmlns:r="http://schemas.openxmlformats.org/officeDocument/2006/relationships" r:id="rId6"/>
          <a:extLst>
            <a:ext uri="{FF2B5EF4-FFF2-40B4-BE49-F238E27FC236}">
              <a16:creationId xmlns:a16="http://schemas.microsoft.com/office/drawing/2014/main" id="{C7DE48D3-9F34-4672-8F9E-970CD550D44C}"/>
            </a:ext>
          </a:extLst>
        </xdr:cNvPr>
        <xdr:cNvSpPr txBox="1"/>
      </xdr:nvSpPr>
      <xdr:spPr>
        <a:xfrm>
          <a:off x="8004175" y="542925"/>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6.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2</xdr:col>
      <xdr:colOff>428625</xdr:colOff>
      <xdr:row>0</xdr:row>
      <xdr:rowOff>400050</xdr:rowOff>
    </xdr:to>
    <xdr:pic>
      <xdr:nvPicPr>
        <xdr:cNvPr id="2" name="rot" descr="Statistik-4c-200">
          <a:extLst>
            <a:ext uri="{FF2B5EF4-FFF2-40B4-BE49-F238E27FC236}">
              <a16:creationId xmlns:a16="http://schemas.microsoft.com/office/drawing/2014/main" id="{703F5B82-D39C-46F8-87B9-AE0DBF9F61F8}"/>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8</xdr:col>
      <xdr:colOff>12700</xdr:colOff>
      <xdr:row>1</xdr:row>
      <xdr:rowOff>28575</xdr:rowOff>
    </xdr:from>
    <xdr:to>
      <xdr:col>9</xdr:col>
      <xdr:colOff>584200</xdr:colOff>
      <xdr:row>2</xdr:row>
      <xdr:rowOff>180975</xdr:rowOff>
    </xdr:to>
    <xdr:sp macro="" textlink="">
      <xdr:nvSpPr>
        <xdr:cNvPr id="3" name="Inhalt">
          <a:hlinkClick xmlns:r="http://schemas.openxmlformats.org/officeDocument/2006/relationships" r:id="rId2"/>
          <a:extLst>
            <a:ext uri="{FF2B5EF4-FFF2-40B4-BE49-F238E27FC236}">
              <a16:creationId xmlns:a16="http://schemas.microsoft.com/office/drawing/2014/main" id="{4553012B-88E4-4E3C-B109-1057CE37DC94}"/>
            </a:ext>
          </a:extLst>
        </xdr:cNvPr>
        <xdr:cNvSpPr txBox="1"/>
      </xdr:nvSpPr>
      <xdr:spPr>
        <a:xfrm>
          <a:off x="5194300" y="495300"/>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7.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3</xdr:col>
      <xdr:colOff>1085850</xdr:colOff>
      <xdr:row>0</xdr:row>
      <xdr:rowOff>400050</xdr:rowOff>
    </xdr:to>
    <xdr:pic>
      <xdr:nvPicPr>
        <xdr:cNvPr id="2" name="rot" descr="Statistik-4c-200">
          <a:extLst>
            <a:ext uri="{FF2B5EF4-FFF2-40B4-BE49-F238E27FC236}">
              <a16:creationId xmlns:a16="http://schemas.microsoft.com/office/drawing/2014/main" id="{0A63D1B4-8689-4231-AB9A-A925BA10D0B9}"/>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10</xdr:col>
      <xdr:colOff>12700</xdr:colOff>
      <xdr:row>2</xdr:row>
      <xdr:rowOff>9525</xdr:rowOff>
    </xdr:from>
    <xdr:to>
      <xdr:col>11</xdr:col>
      <xdr:colOff>584200</xdr:colOff>
      <xdr:row>2</xdr:row>
      <xdr:rowOff>238125</xdr:rowOff>
    </xdr:to>
    <xdr:sp macro="" textlink="">
      <xdr:nvSpPr>
        <xdr:cNvPr id="3" name="Inhalt">
          <a:hlinkClick xmlns:r="http://schemas.openxmlformats.org/officeDocument/2006/relationships" r:id="rId2"/>
          <a:extLst>
            <a:ext uri="{FF2B5EF4-FFF2-40B4-BE49-F238E27FC236}">
              <a16:creationId xmlns:a16="http://schemas.microsoft.com/office/drawing/2014/main" id="{825E1FA9-2F04-4F6E-A718-E3E1E891F376}"/>
            </a:ext>
          </a:extLst>
        </xdr:cNvPr>
        <xdr:cNvSpPr txBox="1"/>
      </xdr:nvSpPr>
      <xdr:spPr>
        <a:xfrm>
          <a:off x="6642100" y="619125"/>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8.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1</xdr:col>
      <xdr:colOff>1276350</xdr:colOff>
      <xdr:row>0</xdr:row>
      <xdr:rowOff>400050</xdr:rowOff>
    </xdr:to>
    <xdr:pic>
      <xdr:nvPicPr>
        <xdr:cNvPr id="2" name="rot" descr="Statistik-4c-200">
          <a:extLst>
            <a:ext uri="{FF2B5EF4-FFF2-40B4-BE49-F238E27FC236}">
              <a16:creationId xmlns:a16="http://schemas.microsoft.com/office/drawing/2014/main" id="{71BAA0EE-C7CC-4524-9D00-47232DD32E73}"/>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7</xdr:col>
      <xdr:colOff>622300</xdr:colOff>
      <xdr:row>2</xdr:row>
      <xdr:rowOff>0</xdr:rowOff>
    </xdr:from>
    <xdr:to>
      <xdr:col>9</xdr:col>
      <xdr:colOff>546100</xdr:colOff>
      <xdr:row>2</xdr:row>
      <xdr:rowOff>228600</xdr:rowOff>
    </xdr:to>
    <xdr:sp macro="" textlink="">
      <xdr:nvSpPr>
        <xdr:cNvPr id="3" name="Inhalt">
          <a:hlinkClick xmlns:r="http://schemas.openxmlformats.org/officeDocument/2006/relationships" r:id="rId2"/>
          <a:extLst>
            <a:ext uri="{FF2B5EF4-FFF2-40B4-BE49-F238E27FC236}">
              <a16:creationId xmlns:a16="http://schemas.microsoft.com/office/drawing/2014/main" id="{62D8E70D-674D-4E37-98E7-B03BDC024DDE}"/>
            </a:ext>
          </a:extLst>
        </xdr:cNvPr>
        <xdr:cNvSpPr txBox="1"/>
      </xdr:nvSpPr>
      <xdr:spPr>
        <a:xfrm>
          <a:off x="7556500" y="609600"/>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9.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1</xdr:col>
      <xdr:colOff>1476375</xdr:colOff>
      <xdr:row>0</xdr:row>
      <xdr:rowOff>400050</xdr:rowOff>
    </xdr:to>
    <xdr:pic>
      <xdr:nvPicPr>
        <xdr:cNvPr id="2" name="rot" descr="Statistik-4c-200">
          <a:extLst>
            <a:ext uri="{FF2B5EF4-FFF2-40B4-BE49-F238E27FC236}">
              <a16:creationId xmlns:a16="http://schemas.microsoft.com/office/drawing/2014/main" id="{2338D613-B2F7-4289-BCB5-E50B95192573}"/>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8</xdr:col>
      <xdr:colOff>612775</xdr:colOff>
      <xdr:row>2</xdr:row>
      <xdr:rowOff>9525</xdr:rowOff>
    </xdr:from>
    <xdr:to>
      <xdr:col>10</xdr:col>
      <xdr:colOff>536575</xdr:colOff>
      <xdr:row>2</xdr:row>
      <xdr:rowOff>238125</xdr:rowOff>
    </xdr:to>
    <xdr:sp macro="" textlink="">
      <xdr:nvSpPr>
        <xdr:cNvPr id="3" name="Inhalt">
          <a:hlinkClick xmlns:r="http://schemas.openxmlformats.org/officeDocument/2006/relationships" r:id="rId2"/>
          <a:extLst>
            <a:ext uri="{FF2B5EF4-FFF2-40B4-BE49-F238E27FC236}">
              <a16:creationId xmlns:a16="http://schemas.microsoft.com/office/drawing/2014/main" id="{218CE864-0416-4AA2-93F1-FE4B9972E933}"/>
            </a:ext>
          </a:extLst>
        </xdr:cNvPr>
        <xdr:cNvSpPr txBox="1"/>
      </xdr:nvSpPr>
      <xdr:spPr>
        <a:xfrm>
          <a:off x="6327775" y="619125"/>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2</xdr:col>
      <xdr:colOff>76200</xdr:colOff>
      <xdr:row>0</xdr:row>
      <xdr:rowOff>400050</xdr:rowOff>
    </xdr:to>
    <xdr:pic>
      <xdr:nvPicPr>
        <xdr:cNvPr id="2" name="rot" descr="Statistik-4c-200">
          <a:extLst>
            <a:ext uri="{FF2B5EF4-FFF2-40B4-BE49-F238E27FC236}">
              <a16:creationId xmlns:a16="http://schemas.microsoft.com/office/drawing/2014/main" id="{85D25949-80C6-41E8-A34F-91DFAA3CDD35}"/>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8</xdr:col>
      <xdr:colOff>31750</xdr:colOff>
      <xdr:row>2</xdr:row>
      <xdr:rowOff>0</xdr:rowOff>
    </xdr:from>
    <xdr:to>
      <xdr:col>9</xdr:col>
      <xdr:colOff>603250</xdr:colOff>
      <xdr:row>2</xdr:row>
      <xdr:rowOff>228600</xdr:rowOff>
    </xdr:to>
    <xdr:sp macro="" textlink="">
      <xdr:nvSpPr>
        <xdr:cNvPr id="3" name="Inhalt">
          <a:hlinkClick xmlns:r="http://schemas.openxmlformats.org/officeDocument/2006/relationships" r:id="rId2"/>
          <a:extLst>
            <a:ext uri="{FF2B5EF4-FFF2-40B4-BE49-F238E27FC236}">
              <a16:creationId xmlns:a16="http://schemas.microsoft.com/office/drawing/2014/main" id="{A47B9B3E-3557-444D-B052-311F0098BBA1}"/>
            </a:ext>
          </a:extLst>
        </xdr:cNvPr>
        <xdr:cNvSpPr txBox="1"/>
      </xdr:nvSpPr>
      <xdr:spPr>
        <a:xfrm>
          <a:off x="5565775" y="609600"/>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3</xdr:col>
      <xdr:colOff>1181100</xdr:colOff>
      <xdr:row>0</xdr:row>
      <xdr:rowOff>400050</xdr:rowOff>
    </xdr:to>
    <xdr:pic>
      <xdr:nvPicPr>
        <xdr:cNvPr id="2" name="rot" descr="Statistik-4c-200">
          <a:extLst>
            <a:ext uri="{FF2B5EF4-FFF2-40B4-BE49-F238E27FC236}">
              <a16:creationId xmlns:a16="http://schemas.microsoft.com/office/drawing/2014/main" id="{A81DFD02-4D91-4A86-B31D-3856B868DD7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9</xdr:col>
      <xdr:colOff>584200</xdr:colOff>
      <xdr:row>2</xdr:row>
      <xdr:rowOff>0</xdr:rowOff>
    </xdr:from>
    <xdr:to>
      <xdr:col>11</xdr:col>
      <xdr:colOff>508000</xdr:colOff>
      <xdr:row>2</xdr:row>
      <xdr:rowOff>228600</xdr:rowOff>
    </xdr:to>
    <xdr:sp macro="" textlink="">
      <xdr:nvSpPr>
        <xdr:cNvPr id="3" name="Inhalt">
          <a:hlinkClick xmlns:r="http://schemas.openxmlformats.org/officeDocument/2006/relationships" r:id="rId2"/>
          <a:extLst>
            <a:ext uri="{FF2B5EF4-FFF2-40B4-BE49-F238E27FC236}">
              <a16:creationId xmlns:a16="http://schemas.microsoft.com/office/drawing/2014/main" id="{2F698F80-B6AD-4208-957A-F6794EABBB06}"/>
            </a:ext>
          </a:extLst>
        </xdr:cNvPr>
        <xdr:cNvSpPr txBox="1"/>
      </xdr:nvSpPr>
      <xdr:spPr>
        <a:xfrm>
          <a:off x="6089650" y="609600"/>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1</xdr:col>
      <xdr:colOff>1276350</xdr:colOff>
      <xdr:row>0</xdr:row>
      <xdr:rowOff>400050</xdr:rowOff>
    </xdr:to>
    <xdr:pic>
      <xdr:nvPicPr>
        <xdr:cNvPr id="2" name="rot" descr="Statistik-4c-200">
          <a:extLst>
            <a:ext uri="{FF2B5EF4-FFF2-40B4-BE49-F238E27FC236}">
              <a16:creationId xmlns:a16="http://schemas.microsoft.com/office/drawing/2014/main" id="{E1F9BE87-1D15-483E-823A-F55ED2FCBB62}"/>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7</xdr:col>
      <xdr:colOff>612775</xdr:colOff>
      <xdr:row>2</xdr:row>
      <xdr:rowOff>0</xdr:rowOff>
    </xdr:from>
    <xdr:to>
      <xdr:col>9</xdr:col>
      <xdr:colOff>536575</xdr:colOff>
      <xdr:row>2</xdr:row>
      <xdr:rowOff>228600</xdr:rowOff>
    </xdr:to>
    <xdr:sp macro="" textlink="">
      <xdr:nvSpPr>
        <xdr:cNvPr id="3" name="Inhalt">
          <a:hlinkClick xmlns:r="http://schemas.openxmlformats.org/officeDocument/2006/relationships" r:id="rId2"/>
          <a:extLst>
            <a:ext uri="{FF2B5EF4-FFF2-40B4-BE49-F238E27FC236}">
              <a16:creationId xmlns:a16="http://schemas.microsoft.com/office/drawing/2014/main" id="{41BB4D44-46EE-4E29-B0AF-557454DFA7A1}"/>
            </a:ext>
          </a:extLst>
        </xdr:cNvPr>
        <xdr:cNvSpPr txBox="1"/>
      </xdr:nvSpPr>
      <xdr:spPr>
        <a:xfrm>
          <a:off x="7546975" y="609600"/>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1</xdr:col>
      <xdr:colOff>1476375</xdr:colOff>
      <xdr:row>0</xdr:row>
      <xdr:rowOff>400050</xdr:rowOff>
    </xdr:to>
    <xdr:pic>
      <xdr:nvPicPr>
        <xdr:cNvPr id="2" name="rot" descr="Statistik-4c-200">
          <a:extLst>
            <a:ext uri="{FF2B5EF4-FFF2-40B4-BE49-F238E27FC236}">
              <a16:creationId xmlns:a16="http://schemas.microsoft.com/office/drawing/2014/main" id="{D5ED3F63-5296-4FAE-9124-4E95E15718D1}"/>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9</xdr:col>
      <xdr:colOff>3175</xdr:colOff>
      <xdr:row>2</xdr:row>
      <xdr:rowOff>0</xdr:rowOff>
    </xdr:from>
    <xdr:to>
      <xdr:col>10</xdr:col>
      <xdr:colOff>574675</xdr:colOff>
      <xdr:row>2</xdr:row>
      <xdr:rowOff>228600</xdr:rowOff>
    </xdr:to>
    <xdr:sp macro="" textlink="">
      <xdr:nvSpPr>
        <xdr:cNvPr id="3" name="Inhalt">
          <a:hlinkClick xmlns:r="http://schemas.openxmlformats.org/officeDocument/2006/relationships" r:id="rId2"/>
          <a:extLst>
            <a:ext uri="{FF2B5EF4-FFF2-40B4-BE49-F238E27FC236}">
              <a16:creationId xmlns:a16="http://schemas.microsoft.com/office/drawing/2014/main" id="{2569A1C7-EA4F-4D35-AC02-48C22FFF5D3B}"/>
            </a:ext>
          </a:extLst>
        </xdr:cNvPr>
        <xdr:cNvSpPr txBox="1"/>
      </xdr:nvSpPr>
      <xdr:spPr>
        <a:xfrm>
          <a:off x="6765925" y="609600"/>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4</xdr:col>
      <xdr:colOff>733425</xdr:colOff>
      <xdr:row>0</xdr:row>
      <xdr:rowOff>400050</xdr:rowOff>
    </xdr:to>
    <xdr:pic>
      <xdr:nvPicPr>
        <xdr:cNvPr id="2" name="rot" descr="Statistik-4c-200">
          <a:extLst>
            <a:ext uri="{FF2B5EF4-FFF2-40B4-BE49-F238E27FC236}">
              <a16:creationId xmlns:a16="http://schemas.microsoft.com/office/drawing/2014/main" id="{A89ED99D-0CC7-47C9-8BD5-435D362579F9}"/>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10</xdr:col>
      <xdr:colOff>95250</xdr:colOff>
      <xdr:row>1</xdr:row>
      <xdr:rowOff>19050</xdr:rowOff>
    </xdr:from>
    <xdr:to>
      <xdr:col>12</xdr:col>
      <xdr:colOff>57150</xdr:colOff>
      <xdr:row>2</xdr:row>
      <xdr:rowOff>114300</xdr:rowOff>
    </xdr:to>
    <xdr:sp macro="" textlink="">
      <xdr:nvSpPr>
        <xdr:cNvPr id="3" name="Inhalt">
          <a:hlinkClick xmlns:r="http://schemas.openxmlformats.org/officeDocument/2006/relationships" r:id="rId2"/>
          <a:extLst>
            <a:ext uri="{FF2B5EF4-FFF2-40B4-BE49-F238E27FC236}">
              <a16:creationId xmlns:a16="http://schemas.microsoft.com/office/drawing/2014/main" id="{051F4887-52CA-4F3E-9C08-6FB9566E3A0C}"/>
            </a:ext>
          </a:extLst>
        </xdr:cNvPr>
        <xdr:cNvSpPr txBox="1"/>
      </xdr:nvSpPr>
      <xdr:spPr>
        <a:xfrm>
          <a:off x="5705475" y="485775"/>
          <a:ext cx="1190625" cy="23812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1</xdr:col>
      <xdr:colOff>1276350</xdr:colOff>
      <xdr:row>0</xdr:row>
      <xdr:rowOff>400050</xdr:rowOff>
    </xdr:to>
    <xdr:pic>
      <xdr:nvPicPr>
        <xdr:cNvPr id="2" name="rot" descr="Statistik-4c-200">
          <a:extLst>
            <a:ext uri="{FF2B5EF4-FFF2-40B4-BE49-F238E27FC236}">
              <a16:creationId xmlns:a16="http://schemas.microsoft.com/office/drawing/2014/main" id="{AB8C71C9-9CCD-4734-A59D-EE510876A02D}"/>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8</xdr:col>
      <xdr:colOff>165100</xdr:colOff>
      <xdr:row>2</xdr:row>
      <xdr:rowOff>0</xdr:rowOff>
    </xdr:from>
    <xdr:to>
      <xdr:col>10</xdr:col>
      <xdr:colOff>88900</xdr:colOff>
      <xdr:row>2</xdr:row>
      <xdr:rowOff>228600</xdr:rowOff>
    </xdr:to>
    <xdr:sp macro="" textlink="">
      <xdr:nvSpPr>
        <xdr:cNvPr id="3" name="Inhalt">
          <a:hlinkClick xmlns:r="http://schemas.openxmlformats.org/officeDocument/2006/relationships" r:id="rId2"/>
          <a:extLst>
            <a:ext uri="{FF2B5EF4-FFF2-40B4-BE49-F238E27FC236}">
              <a16:creationId xmlns:a16="http://schemas.microsoft.com/office/drawing/2014/main" id="{6CCB1CB5-CB99-4F48-8896-B03BBA3949BE}"/>
            </a:ext>
          </a:extLst>
        </xdr:cNvPr>
        <xdr:cNvSpPr txBox="1"/>
      </xdr:nvSpPr>
      <xdr:spPr>
        <a:xfrm>
          <a:off x="7747000" y="609600"/>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1</xdr:col>
      <xdr:colOff>1476375</xdr:colOff>
      <xdr:row>0</xdr:row>
      <xdr:rowOff>400050</xdr:rowOff>
    </xdr:to>
    <xdr:pic>
      <xdr:nvPicPr>
        <xdr:cNvPr id="2" name="rot" descr="Statistik-4c-200">
          <a:extLst>
            <a:ext uri="{FF2B5EF4-FFF2-40B4-BE49-F238E27FC236}">
              <a16:creationId xmlns:a16="http://schemas.microsoft.com/office/drawing/2014/main" id="{A900D47F-5C8D-4A4A-AD28-13FD92A7B279}"/>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8</xdr:col>
      <xdr:colOff>641350</xdr:colOff>
      <xdr:row>1</xdr:row>
      <xdr:rowOff>66675</xdr:rowOff>
    </xdr:from>
    <xdr:to>
      <xdr:col>10</xdr:col>
      <xdr:colOff>565150</xdr:colOff>
      <xdr:row>2</xdr:row>
      <xdr:rowOff>219075</xdr:rowOff>
    </xdr:to>
    <xdr:sp macro="" textlink="">
      <xdr:nvSpPr>
        <xdr:cNvPr id="3" name="Inhalt">
          <a:hlinkClick xmlns:r="http://schemas.openxmlformats.org/officeDocument/2006/relationships" r:id="rId2"/>
          <a:extLst>
            <a:ext uri="{FF2B5EF4-FFF2-40B4-BE49-F238E27FC236}">
              <a16:creationId xmlns:a16="http://schemas.microsoft.com/office/drawing/2014/main" id="{D25FD49C-77AA-46A5-83D6-C8C50B387D6C}"/>
            </a:ext>
          </a:extLst>
        </xdr:cNvPr>
        <xdr:cNvSpPr txBox="1"/>
      </xdr:nvSpPr>
      <xdr:spPr>
        <a:xfrm>
          <a:off x="6756400" y="533400"/>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1</xdr:col>
      <xdr:colOff>1276350</xdr:colOff>
      <xdr:row>0</xdr:row>
      <xdr:rowOff>400050</xdr:rowOff>
    </xdr:to>
    <xdr:pic>
      <xdr:nvPicPr>
        <xdr:cNvPr id="2" name="rot" descr="Statistik-4c-200">
          <a:extLst>
            <a:ext uri="{FF2B5EF4-FFF2-40B4-BE49-F238E27FC236}">
              <a16:creationId xmlns:a16="http://schemas.microsoft.com/office/drawing/2014/main" id="{65E53DB1-9886-425C-B33D-B93EB71B30E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7</xdr:col>
      <xdr:colOff>612775</xdr:colOff>
      <xdr:row>2</xdr:row>
      <xdr:rowOff>0</xdr:rowOff>
    </xdr:from>
    <xdr:to>
      <xdr:col>9</xdr:col>
      <xdr:colOff>536575</xdr:colOff>
      <xdr:row>2</xdr:row>
      <xdr:rowOff>228600</xdr:rowOff>
    </xdr:to>
    <xdr:sp macro="" textlink="">
      <xdr:nvSpPr>
        <xdr:cNvPr id="3" name="Inhalt">
          <a:hlinkClick xmlns:r="http://schemas.openxmlformats.org/officeDocument/2006/relationships" r:id="rId2"/>
          <a:extLst>
            <a:ext uri="{FF2B5EF4-FFF2-40B4-BE49-F238E27FC236}">
              <a16:creationId xmlns:a16="http://schemas.microsoft.com/office/drawing/2014/main" id="{4E9345AB-B032-4DE9-9382-CF0DA6A7205C}"/>
            </a:ext>
          </a:extLst>
        </xdr:cNvPr>
        <xdr:cNvSpPr txBox="1"/>
      </xdr:nvSpPr>
      <xdr:spPr>
        <a:xfrm>
          <a:off x="7546975" y="542925"/>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19050</xdr:colOff>
      <xdr:row>0</xdr:row>
      <xdr:rowOff>9525</xdr:rowOff>
    </xdr:from>
    <xdr:to>
      <xdr:col>1</xdr:col>
      <xdr:colOff>1476375</xdr:colOff>
      <xdr:row>0</xdr:row>
      <xdr:rowOff>400050</xdr:rowOff>
    </xdr:to>
    <xdr:pic>
      <xdr:nvPicPr>
        <xdr:cNvPr id="2" name="rot" descr="Statistik-4c-200">
          <a:extLst>
            <a:ext uri="{FF2B5EF4-FFF2-40B4-BE49-F238E27FC236}">
              <a16:creationId xmlns:a16="http://schemas.microsoft.com/office/drawing/2014/main" id="{C8852C39-5914-4724-A69C-EA6A34E8AF66}"/>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905000" cy="390525"/>
        </a:xfrm>
        <a:prstGeom prst="rect">
          <a:avLst/>
        </a:prstGeom>
        <a:noFill/>
        <a:ln w="9525">
          <a:noFill/>
          <a:miter lim="800000"/>
          <a:headEnd/>
          <a:tailEnd/>
        </a:ln>
      </xdr:spPr>
    </xdr:pic>
    <xdr:clientData/>
  </xdr:twoCellAnchor>
  <xdr:twoCellAnchor>
    <xdr:from>
      <xdr:col>9</xdr:col>
      <xdr:colOff>3175</xdr:colOff>
      <xdr:row>1</xdr:row>
      <xdr:rowOff>66675</xdr:rowOff>
    </xdr:from>
    <xdr:to>
      <xdr:col>10</xdr:col>
      <xdr:colOff>574675</xdr:colOff>
      <xdr:row>2</xdr:row>
      <xdr:rowOff>219075</xdr:rowOff>
    </xdr:to>
    <xdr:sp macro="" textlink="">
      <xdr:nvSpPr>
        <xdr:cNvPr id="3" name="Inhalt">
          <a:hlinkClick xmlns:r="http://schemas.openxmlformats.org/officeDocument/2006/relationships" r:id="rId2"/>
          <a:extLst>
            <a:ext uri="{FF2B5EF4-FFF2-40B4-BE49-F238E27FC236}">
              <a16:creationId xmlns:a16="http://schemas.microsoft.com/office/drawing/2014/main" id="{D4355C9C-6A61-4F51-B918-A82CF2783636}"/>
            </a:ext>
          </a:extLst>
        </xdr:cNvPr>
        <xdr:cNvSpPr txBox="1"/>
      </xdr:nvSpPr>
      <xdr:spPr>
        <a:xfrm>
          <a:off x="6765925" y="533400"/>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58</xdr:row>
      <xdr:rowOff>0</xdr:rowOff>
    </xdr:from>
    <xdr:to>
      <xdr:col>11</xdr:col>
      <xdr:colOff>76200</xdr:colOff>
      <xdr:row>58</xdr:row>
      <xdr:rowOff>0</xdr:rowOff>
    </xdr:to>
    <xdr:graphicFrame macro="">
      <xdr:nvGraphicFramePr>
        <xdr:cNvPr id="2" name="Chart 3">
          <a:extLst>
            <a:ext uri="{FF2B5EF4-FFF2-40B4-BE49-F238E27FC236}">
              <a16:creationId xmlns:a16="http://schemas.microsoft.com/office/drawing/2014/main" id="{488C4DC6-BFA5-4D85-97C7-402C34EEA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0</xdr:rowOff>
    </xdr:from>
    <xdr:to>
      <xdr:col>11</xdr:col>
      <xdr:colOff>66675</xdr:colOff>
      <xdr:row>58</xdr:row>
      <xdr:rowOff>0</xdr:rowOff>
    </xdr:to>
    <xdr:graphicFrame macro="">
      <xdr:nvGraphicFramePr>
        <xdr:cNvPr id="3" name="Chart 4">
          <a:extLst>
            <a:ext uri="{FF2B5EF4-FFF2-40B4-BE49-F238E27FC236}">
              <a16:creationId xmlns:a16="http://schemas.microsoft.com/office/drawing/2014/main" id="{2C3AD4B3-717C-4156-A58A-F98C17AFF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19050</xdr:colOff>
      <xdr:row>0</xdr:row>
      <xdr:rowOff>9525</xdr:rowOff>
    </xdr:from>
    <xdr:to>
      <xdr:col>2</xdr:col>
      <xdr:colOff>152400</xdr:colOff>
      <xdr:row>0</xdr:row>
      <xdr:rowOff>381000</xdr:rowOff>
    </xdr:to>
    <xdr:pic>
      <xdr:nvPicPr>
        <xdr:cNvPr id="4" name="rot" descr="Statistik-4c-200">
          <a:extLst>
            <a:ext uri="{FF2B5EF4-FFF2-40B4-BE49-F238E27FC236}">
              <a16:creationId xmlns:a16="http://schemas.microsoft.com/office/drawing/2014/main" id="{2E1F88FC-388A-4591-9A87-54755C8618A4}"/>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9050" y="9525"/>
          <a:ext cx="1905000" cy="371475"/>
        </a:xfrm>
        <a:prstGeom prst="rect">
          <a:avLst/>
        </a:prstGeom>
        <a:noFill/>
        <a:ln w="9525">
          <a:noFill/>
          <a:miter lim="800000"/>
          <a:headEnd/>
          <a:tailEnd/>
        </a:ln>
      </xdr:spPr>
    </xdr:pic>
    <xdr:clientData/>
  </xdr:twoCellAnchor>
  <xdr:twoCellAnchor>
    <xdr:from>
      <xdr:col>0</xdr:col>
      <xdr:colOff>0</xdr:colOff>
      <xdr:row>56</xdr:row>
      <xdr:rowOff>136526</xdr:rowOff>
    </xdr:from>
    <xdr:to>
      <xdr:col>12</xdr:col>
      <xdr:colOff>485774</xdr:colOff>
      <xdr:row>71</xdr:row>
      <xdr:rowOff>63500</xdr:rowOff>
    </xdr:to>
    <xdr:graphicFrame macro="">
      <xdr:nvGraphicFramePr>
        <xdr:cNvPr id="5" name="Chart 5">
          <a:extLst>
            <a:ext uri="{FF2B5EF4-FFF2-40B4-BE49-F238E27FC236}">
              <a16:creationId xmlns:a16="http://schemas.microsoft.com/office/drawing/2014/main" id="{D0977E79-2189-4EB3-9D8C-982420CE0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609600</xdr:colOff>
      <xdr:row>2</xdr:row>
      <xdr:rowOff>142875</xdr:rowOff>
    </xdr:from>
    <xdr:to>
      <xdr:col>12</xdr:col>
      <xdr:colOff>530225</xdr:colOff>
      <xdr:row>3</xdr:row>
      <xdr:rowOff>53975</xdr:rowOff>
    </xdr:to>
    <xdr:sp macro="" textlink="">
      <xdr:nvSpPr>
        <xdr:cNvPr id="6" name="Inhalt">
          <a:hlinkClick xmlns:r="http://schemas.openxmlformats.org/officeDocument/2006/relationships" r:id="rId5"/>
          <a:extLst>
            <a:ext uri="{FF2B5EF4-FFF2-40B4-BE49-F238E27FC236}">
              <a16:creationId xmlns:a16="http://schemas.microsoft.com/office/drawing/2014/main" id="{13761D98-7FBC-4E6F-B7B8-C859B4A32E19}"/>
            </a:ext>
          </a:extLst>
        </xdr:cNvPr>
        <xdr:cNvSpPr txBox="1"/>
      </xdr:nvSpPr>
      <xdr:spPr>
        <a:xfrm>
          <a:off x="7562850" y="752475"/>
          <a:ext cx="1216025" cy="225425"/>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0.xml><?xml version="1.0" encoding="utf-8"?>
<xdr:wsDr xmlns:xdr="http://schemas.openxmlformats.org/drawingml/2006/spreadsheetDrawing" xmlns:a="http://schemas.openxmlformats.org/drawingml/2006/main">
  <xdr:oneCellAnchor>
    <xdr:from>
      <xdr:col>9</xdr:col>
      <xdr:colOff>651510</xdr:colOff>
      <xdr:row>43</xdr:row>
      <xdr:rowOff>76200</xdr:rowOff>
    </xdr:from>
    <xdr:ext cx="206464" cy="264560"/>
    <xdr:sp macro="" textlink="">
      <xdr:nvSpPr>
        <xdr:cNvPr id="2" name="Textfeld 1">
          <a:extLst>
            <a:ext uri="{FF2B5EF4-FFF2-40B4-BE49-F238E27FC236}">
              <a16:creationId xmlns:a16="http://schemas.microsoft.com/office/drawing/2014/main" id="{CD34EE0C-F7A5-4081-A6C4-4C08B3E1530C}"/>
            </a:ext>
          </a:extLst>
        </xdr:cNvPr>
        <xdr:cNvSpPr txBox="1"/>
      </xdr:nvSpPr>
      <xdr:spPr>
        <a:xfrm>
          <a:off x="12624435" y="18449925"/>
          <a:ext cx="20646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a:p>
      </xdr:txBody>
    </xdr:sp>
    <xdr:clientData/>
  </xdr:oneCellAnchor>
  <xdr:absoluteAnchor>
    <xdr:pos x="38100" y="76200"/>
    <xdr:ext cx="1866900" cy="390525"/>
    <xdr:pic>
      <xdr:nvPicPr>
        <xdr:cNvPr id="3" name="BA-Logo" descr="Statistik-4c-100dpi">
          <a:extLst>
            <a:ext uri="{FF2B5EF4-FFF2-40B4-BE49-F238E27FC236}">
              <a16:creationId xmlns:a16="http://schemas.microsoft.com/office/drawing/2014/main" id="{47D72B70-F914-43D6-9BCE-C31AE5571F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7620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absoluteAnchor>
  <xdr:twoCellAnchor>
    <xdr:from>
      <xdr:col>1</xdr:col>
      <xdr:colOff>4143375</xdr:colOff>
      <xdr:row>1</xdr:row>
      <xdr:rowOff>38100</xdr:rowOff>
    </xdr:from>
    <xdr:to>
      <xdr:col>1</xdr:col>
      <xdr:colOff>5362575</xdr:colOff>
      <xdr:row>1</xdr:row>
      <xdr:rowOff>266700</xdr:rowOff>
    </xdr:to>
    <xdr:sp macro="" textlink="">
      <xdr:nvSpPr>
        <xdr:cNvPr id="4" name="Inhalt">
          <a:hlinkClick xmlns:r="http://schemas.openxmlformats.org/officeDocument/2006/relationships" r:id="rId2"/>
          <a:extLst>
            <a:ext uri="{FF2B5EF4-FFF2-40B4-BE49-F238E27FC236}">
              <a16:creationId xmlns:a16="http://schemas.microsoft.com/office/drawing/2014/main" id="{0295FE39-7020-49C3-A7A0-9D6DE8E56051}"/>
            </a:ext>
          </a:extLst>
        </xdr:cNvPr>
        <xdr:cNvSpPr txBox="1"/>
      </xdr:nvSpPr>
      <xdr:spPr>
        <a:xfrm>
          <a:off x="4286250" y="542925"/>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1.xml><?xml version="1.0" encoding="utf-8"?>
<xdr:wsDr xmlns:xdr="http://schemas.openxmlformats.org/drawingml/2006/spreadsheetDrawing" xmlns:a="http://schemas.openxmlformats.org/drawingml/2006/main">
  <xdr:twoCellAnchor editAs="oneCell">
    <xdr:from>
      <xdr:col>1</xdr:col>
      <xdr:colOff>6350</xdr:colOff>
      <xdr:row>0</xdr:row>
      <xdr:rowOff>31750</xdr:rowOff>
    </xdr:from>
    <xdr:to>
      <xdr:col>1</xdr:col>
      <xdr:colOff>1835150</xdr:colOff>
      <xdr:row>0</xdr:row>
      <xdr:rowOff>412750</xdr:rowOff>
    </xdr:to>
    <xdr:pic>
      <xdr:nvPicPr>
        <xdr:cNvPr id="2" name="BA-Logo">
          <a:extLst>
            <a:ext uri="{FF2B5EF4-FFF2-40B4-BE49-F238E27FC236}">
              <a16:creationId xmlns:a16="http://schemas.microsoft.com/office/drawing/2014/main" id="{39242F0F-CF50-4290-B330-FF4C16E91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750" y="31750"/>
          <a:ext cx="18288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oneCellAnchor>
    <xdr:from>
      <xdr:col>9</xdr:col>
      <xdr:colOff>647700</xdr:colOff>
      <xdr:row>43</xdr:row>
      <xdr:rowOff>76200</xdr:rowOff>
    </xdr:from>
    <xdr:ext cx="184731" cy="264560"/>
    <xdr:sp macro="" textlink="">
      <xdr:nvSpPr>
        <xdr:cNvPr id="2" name="Textfeld 1">
          <a:extLst>
            <a:ext uri="{FF2B5EF4-FFF2-40B4-BE49-F238E27FC236}">
              <a16:creationId xmlns:a16="http://schemas.microsoft.com/office/drawing/2014/main" id="{9D1C7F34-9FF0-4315-B3AB-147B49A021B2}"/>
            </a:ext>
          </a:extLst>
        </xdr:cNvPr>
        <xdr:cNvSpPr txBox="1"/>
      </xdr:nvSpPr>
      <xdr:spPr>
        <a:xfrm>
          <a:off x="11963400" y="17916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a:p>
      </xdr:txBody>
    </xdr:sp>
    <xdr:clientData/>
  </xdr:oneCellAnchor>
  <xdr:twoCellAnchor editAs="oneCell">
    <xdr:from>
      <xdr:col>1</xdr:col>
      <xdr:colOff>19050</xdr:colOff>
      <xdr:row>0</xdr:row>
      <xdr:rowOff>31750</xdr:rowOff>
    </xdr:from>
    <xdr:to>
      <xdr:col>1</xdr:col>
      <xdr:colOff>1835150</xdr:colOff>
      <xdr:row>0</xdr:row>
      <xdr:rowOff>412750</xdr:rowOff>
    </xdr:to>
    <xdr:pic>
      <xdr:nvPicPr>
        <xdr:cNvPr id="3" name="BA-Logo">
          <a:extLst>
            <a:ext uri="{FF2B5EF4-FFF2-40B4-BE49-F238E27FC236}">
              <a16:creationId xmlns:a16="http://schemas.microsoft.com/office/drawing/2014/main" id="{FFA300C9-99E4-40C6-B2C5-FB656EBC77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 y="31750"/>
          <a:ext cx="18161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oneCellAnchor>
    <xdr:from>
      <xdr:col>9</xdr:col>
      <xdr:colOff>651510</xdr:colOff>
      <xdr:row>51</xdr:row>
      <xdr:rowOff>76200</xdr:rowOff>
    </xdr:from>
    <xdr:ext cx="206464" cy="264560"/>
    <xdr:sp macro="" textlink="">
      <xdr:nvSpPr>
        <xdr:cNvPr id="2" name="Textfeld 1">
          <a:extLst>
            <a:ext uri="{FF2B5EF4-FFF2-40B4-BE49-F238E27FC236}">
              <a16:creationId xmlns:a16="http://schemas.microsoft.com/office/drawing/2014/main" id="{7E7F15B7-2EFC-4B0D-8B30-9E2AF8DCC53E}"/>
            </a:ext>
          </a:extLst>
        </xdr:cNvPr>
        <xdr:cNvSpPr txBox="1"/>
      </xdr:nvSpPr>
      <xdr:spPr>
        <a:xfrm>
          <a:off x="11500485" y="16992600"/>
          <a:ext cx="20646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a:p>
      </xdr:txBody>
    </xdr:sp>
    <xdr:clientData/>
  </xdr:oneCellAnchor>
  <xdr:twoCellAnchor editAs="absolute">
    <xdr:from>
      <xdr:col>1</xdr:col>
      <xdr:colOff>0</xdr:colOff>
      <xdr:row>0</xdr:row>
      <xdr:rowOff>44450</xdr:rowOff>
    </xdr:from>
    <xdr:to>
      <xdr:col>1</xdr:col>
      <xdr:colOff>1870075</xdr:colOff>
      <xdr:row>0</xdr:row>
      <xdr:rowOff>434975</xdr:rowOff>
    </xdr:to>
    <xdr:pic>
      <xdr:nvPicPr>
        <xdr:cNvPr id="3" name="BA-Logo" descr="Statistik-4c-100dpi">
          <a:extLst>
            <a:ext uri="{FF2B5EF4-FFF2-40B4-BE49-F238E27FC236}">
              <a16:creationId xmlns:a16="http://schemas.microsoft.com/office/drawing/2014/main" id="{53273956-22CD-462C-9E0A-9C0ADB02CD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875" y="44450"/>
          <a:ext cx="187007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oneCellAnchor>
    <xdr:from>
      <xdr:col>3</xdr:col>
      <xdr:colOff>0</xdr:colOff>
      <xdr:row>38</xdr:row>
      <xdr:rowOff>76200</xdr:rowOff>
    </xdr:from>
    <xdr:ext cx="186484" cy="264560"/>
    <xdr:sp macro="" textlink="">
      <xdr:nvSpPr>
        <xdr:cNvPr id="2" name="Textfeld 1">
          <a:extLst>
            <a:ext uri="{FF2B5EF4-FFF2-40B4-BE49-F238E27FC236}">
              <a16:creationId xmlns:a16="http://schemas.microsoft.com/office/drawing/2014/main" id="{1C56160F-719E-4564-AA59-E20CB91E84FE}"/>
            </a:ext>
          </a:extLst>
        </xdr:cNvPr>
        <xdr:cNvSpPr txBox="1"/>
      </xdr:nvSpPr>
      <xdr:spPr>
        <a:xfrm>
          <a:off x="6296025" y="22021800"/>
          <a:ext cx="1864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a:p>
      </xdr:txBody>
    </xdr:sp>
    <xdr:clientData/>
  </xdr:oneCellAnchor>
  <xdr:absoluteAnchor>
    <xdr:pos x="38100" y="76200"/>
    <xdr:ext cx="1914525" cy="390525"/>
    <xdr:pic>
      <xdr:nvPicPr>
        <xdr:cNvPr id="3" name="BA-Logo" descr="Statistik-4c-100dpi">
          <a:extLst>
            <a:ext uri="{FF2B5EF4-FFF2-40B4-BE49-F238E27FC236}">
              <a16:creationId xmlns:a16="http://schemas.microsoft.com/office/drawing/2014/main" id="{9F0065AA-49ED-434D-86EC-E46A70FB14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76200"/>
          <a:ext cx="19145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absoluteAnchor>
  <xdr:twoCellAnchor editAs="oneCell">
    <xdr:from>
      <xdr:col>0</xdr:col>
      <xdr:colOff>123824</xdr:colOff>
      <xdr:row>15</xdr:row>
      <xdr:rowOff>38100</xdr:rowOff>
    </xdr:from>
    <xdr:to>
      <xdr:col>1</xdr:col>
      <xdr:colOff>3552825</xdr:colOff>
      <xdr:row>15</xdr:row>
      <xdr:rowOff>1438275</xdr:rowOff>
    </xdr:to>
    <xdr:pic>
      <xdr:nvPicPr>
        <xdr:cNvPr id="4" name="Grafik 3">
          <a:extLst>
            <a:ext uri="{FF2B5EF4-FFF2-40B4-BE49-F238E27FC236}">
              <a16:creationId xmlns:a16="http://schemas.microsoft.com/office/drawing/2014/main" id="{F412CB92-22F2-44A4-BC78-091B72C72635}"/>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3824" y="9039225"/>
          <a:ext cx="3571876" cy="1400175"/>
        </a:xfrm>
        <a:prstGeom prst="rect">
          <a:avLst/>
        </a:prstGeom>
        <a:noFill/>
        <a:ln>
          <a:noFill/>
        </a:ln>
      </xdr:spPr>
    </xdr:pic>
    <xdr:clientData/>
  </xdr:twoCellAnchor>
  <xdr:twoCellAnchor>
    <xdr:from>
      <xdr:col>1</xdr:col>
      <xdr:colOff>297180</xdr:colOff>
      <xdr:row>8</xdr:row>
      <xdr:rowOff>60960</xdr:rowOff>
    </xdr:from>
    <xdr:to>
      <xdr:col>1</xdr:col>
      <xdr:colOff>4069080</xdr:colOff>
      <xdr:row>10</xdr:row>
      <xdr:rowOff>632460</xdr:rowOff>
    </xdr:to>
    <xdr:grpSp>
      <xdr:nvGrpSpPr>
        <xdr:cNvPr id="5" name="Group 3">
          <a:extLst>
            <a:ext uri="{FF2B5EF4-FFF2-40B4-BE49-F238E27FC236}">
              <a16:creationId xmlns:a16="http://schemas.microsoft.com/office/drawing/2014/main" id="{82F09A3D-EB71-463D-984F-134480858689}"/>
            </a:ext>
          </a:extLst>
        </xdr:cNvPr>
        <xdr:cNvGrpSpPr>
          <a:grpSpLocks noChangeAspect="1"/>
        </xdr:cNvGrpSpPr>
      </xdr:nvGrpSpPr>
      <xdr:grpSpPr bwMode="auto">
        <a:xfrm>
          <a:off x="449580" y="3915410"/>
          <a:ext cx="3771900" cy="2311400"/>
          <a:chOff x="24" y="422"/>
          <a:chExt cx="495" cy="303"/>
        </a:xfrm>
      </xdr:grpSpPr>
      <xdr:sp macro="" textlink="">
        <xdr:nvSpPr>
          <xdr:cNvPr id="6" name="AutoShape 2">
            <a:extLst>
              <a:ext uri="{FF2B5EF4-FFF2-40B4-BE49-F238E27FC236}">
                <a16:creationId xmlns:a16="http://schemas.microsoft.com/office/drawing/2014/main" id="{3B3143BB-6578-F7AB-D183-B495E75B4E6C}"/>
              </a:ext>
            </a:extLst>
          </xdr:cNvPr>
          <xdr:cNvSpPr>
            <a:spLocks noChangeAspect="1" noChangeArrowheads="1" noTextEdit="1"/>
          </xdr:cNvSpPr>
        </xdr:nvSpPr>
        <xdr:spPr bwMode="auto">
          <a:xfrm>
            <a:off x="24" y="520"/>
            <a:ext cx="490" cy="2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sp macro="" textlink="">
        <xdr:nvSpPr>
          <xdr:cNvPr id="7" name="Rectangle 4">
            <a:extLst>
              <a:ext uri="{FF2B5EF4-FFF2-40B4-BE49-F238E27FC236}">
                <a16:creationId xmlns:a16="http://schemas.microsoft.com/office/drawing/2014/main" id="{D44EFB8C-B8B7-6645-E741-B460401A340A}"/>
              </a:ext>
            </a:extLst>
          </xdr:cNvPr>
          <xdr:cNvSpPr>
            <a:spLocks noChangeArrowheads="1"/>
          </xdr:cNvSpPr>
        </xdr:nvSpPr>
        <xdr:spPr bwMode="auto">
          <a:xfrm>
            <a:off x="28" y="422"/>
            <a:ext cx="20"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1" i="0" u="none" strike="noStrike" baseline="0">
                <a:solidFill>
                  <a:srgbClr val="000000"/>
                </a:solidFill>
                <a:latin typeface="Arial"/>
                <a:cs typeface="Arial"/>
              </a:rPr>
              <a:t>ab</a:t>
            </a:r>
          </a:p>
        </xdr:txBody>
      </xdr:sp>
      <xdr:sp macro="" textlink="">
        <xdr:nvSpPr>
          <xdr:cNvPr id="8" name="Rectangle 5">
            <a:extLst>
              <a:ext uri="{FF2B5EF4-FFF2-40B4-BE49-F238E27FC236}">
                <a16:creationId xmlns:a16="http://schemas.microsoft.com/office/drawing/2014/main" id="{7D062A76-6018-CE14-DC25-3943F4614DF8}"/>
              </a:ext>
            </a:extLst>
          </xdr:cNvPr>
          <xdr:cNvSpPr>
            <a:spLocks noChangeArrowheads="1"/>
          </xdr:cNvSpPr>
        </xdr:nvSpPr>
        <xdr:spPr bwMode="auto">
          <a:xfrm>
            <a:off x="131" y="422"/>
            <a:ext cx="24"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1" i="0" u="none" strike="noStrike" baseline="0">
                <a:solidFill>
                  <a:srgbClr val="000000"/>
                </a:solidFill>
                <a:latin typeface="Arial"/>
                <a:cs typeface="Arial"/>
              </a:rPr>
              <a:t>bis</a:t>
            </a:r>
          </a:p>
        </xdr:txBody>
      </xdr:sp>
      <xdr:sp macro="" textlink="">
        <xdr:nvSpPr>
          <xdr:cNvPr id="9" name="Rectangle 6">
            <a:extLst>
              <a:ext uri="{FF2B5EF4-FFF2-40B4-BE49-F238E27FC236}">
                <a16:creationId xmlns:a16="http://schemas.microsoft.com/office/drawing/2014/main" id="{86351D1B-1BF7-0446-5DF9-37EA8C55F822}"/>
              </a:ext>
            </a:extLst>
          </xdr:cNvPr>
          <xdr:cNvSpPr>
            <a:spLocks noChangeArrowheads="1"/>
          </xdr:cNvSpPr>
        </xdr:nvSpPr>
        <xdr:spPr bwMode="auto">
          <a:xfrm>
            <a:off x="153" y="468"/>
            <a:ext cx="84"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31.12.2012</a:t>
            </a:r>
          </a:p>
        </xdr:txBody>
      </xdr:sp>
      <xdr:sp macro="" textlink="">
        <xdr:nvSpPr>
          <xdr:cNvPr id="10" name="Rectangle 7">
            <a:extLst>
              <a:ext uri="{FF2B5EF4-FFF2-40B4-BE49-F238E27FC236}">
                <a16:creationId xmlns:a16="http://schemas.microsoft.com/office/drawing/2014/main" id="{32A5C099-3CB4-1AAB-1D12-54AC0B96D6E3}"/>
              </a:ext>
            </a:extLst>
          </xdr:cNvPr>
          <xdr:cNvSpPr>
            <a:spLocks noChangeArrowheads="1"/>
          </xdr:cNvSpPr>
        </xdr:nvSpPr>
        <xdr:spPr bwMode="auto">
          <a:xfrm>
            <a:off x="310" y="468"/>
            <a:ext cx="66"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400,01 €</a:t>
            </a:r>
          </a:p>
        </xdr:txBody>
      </xdr:sp>
      <xdr:sp macro="" textlink="">
        <xdr:nvSpPr>
          <xdr:cNvPr id="11" name="Rectangle 8">
            <a:extLst>
              <a:ext uri="{FF2B5EF4-FFF2-40B4-BE49-F238E27FC236}">
                <a16:creationId xmlns:a16="http://schemas.microsoft.com/office/drawing/2014/main" id="{932F9E00-58E2-E713-43A0-D85D590311F5}"/>
              </a:ext>
            </a:extLst>
          </xdr:cNvPr>
          <xdr:cNvSpPr>
            <a:spLocks noChangeArrowheads="1"/>
          </xdr:cNvSpPr>
        </xdr:nvSpPr>
        <xdr:spPr bwMode="auto">
          <a:xfrm>
            <a:off x="375" y="468"/>
            <a:ext cx="22"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bis</a:t>
            </a:r>
          </a:p>
        </xdr:txBody>
      </xdr:sp>
      <xdr:sp macro="" textlink="">
        <xdr:nvSpPr>
          <xdr:cNvPr id="12" name="Rectangle 9">
            <a:extLst>
              <a:ext uri="{FF2B5EF4-FFF2-40B4-BE49-F238E27FC236}">
                <a16:creationId xmlns:a16="http://schemas.microsoft.com/office/drawing/2014/main" id="{3437B476-4F4C-C1D2-C712-EA2DAB6D54FA}"/>
              </a:ext>
            </a:extLst>
          </xdr:cNvPr>
          <xdr:cNvSpPr>
            <a:spLocks noChangeArrowheads="1"/>
          </xdr:cNvSpPr>
        </xdr:nvSpPr>
        <xdr:spPr bwMode="auto">
          <a:xfrm>
            <a:off x="452" y="468"/>
            <a:ext cx="66"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800,00 €</a:t>
            </a:r>
          </a:p>
        </xdr:txBody>
      </xdr:sp>
      <xdr:sp macro="" textlink="">
        <xdr:nvSpPr>
          <xdr:cNvPr id="13" name="Rectangle 10">
            <a:extLst>
              <a:ext uri="{FF2B5EF4-FFF2-40B4-BE49-F238E27FC236}">
                <a16:creationId xmlns:a16="http://schemas.microsoft.com/office/drawing/2014/main" id="{5F6131C9-2E13-62BA-9A34-BC98FA3AFBE1}"/>
              </a:ext>
            </a:extLst>
          </xdr:cNvPr>
          <xdr:cNvSpPr>
            <a:spLocks noChangeArrowheads="1"/>
          </xdr:cNvSpPr>
        </xdr:nvSpPr>
        <xdr:spPr bwMode="auto">
          <a:xfrm>
            <a:off x="50" y="491"/>
            <a:ext cx="84"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01.01.2013</a:t>
            </a:r>
          </a:p>
        </xdr:txBody>
      </xdr:sp>
      <xdr:sp macro="" textlink="">
        <xdr:nvSpPr>
          <xdr:cNvPr id="14" name="Rectangle 11">
            <a:extLst>
              <a:ext uri="{FF2B5EF4-FFF2-40B4-BE49-F238E27FC236}">
                <a16:creationId xmlns:a16="http://schemas.microsoft.com/office/drawing/2014/main" id="{53E8929D-F9F1-E658-B7FF-95AF235ACA90}"/>
              </a:ext>
            </a:extLst>
          </xdr:cNvPr>
          <xdr:cNvSpPr>
            <a:spLocks noChangeArrowheads="1"/>
          </xdr:cNvSpPr>
        </xdr:nvSpPr>
        <xdr:spPr bwMode="auto">
          <a:xfrm>
            <a:off x="153" y="491"/>
            <a:ext cx="84"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30.06.2019</a:t>
            </a:r>
          </a:p>
        </xdr:txBody>
      </xdr:sp>
      <xdr:sp macro="" textlink="">
        <xdr:nvSpPr>
          <xdr:cNvPr id="15" name="Rectangle 12">
            <a:extLst>
              <a:ext uri="{FF2B5EF4-FFF2-40B4-BE49-F238E27FC236}">
                <a16:creationId xmlns:a16="http://schemas.microsoft.com/office/drawing/2014/main" id="{4CD0CBED-3953-0422-62BD-12AEF2241B49}"/>
              </a:ext>
            </a:extLst>
          </xdr:cNvPr>
          <xdr:cNvSpPr>
            <a:spLocks noChangeArrowheads="1"/>
          </xdr:cNvSpPr>
        </xdr:nvSpPr>
        <xdr:spPr bwMode="auto">
          <a:xfrm>
            <a:off x="310" y="491"/>
            <a:ext cx="66"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450,01 €</a:t>
            </a:r>
          </a:p>
        </xdr:txBody>
      </xdr:sp>
      <xdr:sp macro="" textlink="">
        <xdr:nvSpPr>
          <xdr:cNvPr id="16" name="Rectangle 13">
            <a:extLst>
              <a:ext uri="{FF2B5EF4-FFF2-40B4-BE49-F238E27FC236}">
                <a16:creationId xmlns:a16="http://schemas.microsoft.com/office/drawing/2014/main" id="{5481797C-5493-1412-4749-B5E1E50A5898}"/>
              </a:ext>
            </a:extLst>
          </xdr:cNvPr>
          <xdr:cNvSpPr>
            <a:spLocks noChangeArrowheads="1"/>
          </xdr:cNvSpPr>
        </xdr:nvSpPr>
        <xdr:spPr bwMode="auto">
          <a:xfrm>
            <a:off x="375" y="491"/>
            <a:ext cx="22"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bis</a:t>
            </a:r>
          </a:p>
        </xdr:txBody>
      </xdr:sp>
      <xdr:sp macro="" textlink="">
        <xdr:nvSpPr>
          <xdr:cNvPr id="17" name="Rectangle 14">
            <a:extLst>
              <a:ext uri="{FF2B5EF4-FFF2-40B4-BE49-F238E27FC236}">
                <a16:creationId xmlns:a16="http://schemas.microsoft.com/office/drawing/2014/main" id="{7AC0396D-8B15-9191-8A21-280B82233BAD}"/>
              </a:ext>
            </a:extLst>
          </xdr:cNvPr>
          <xdr:cNvSpPr>
            <a:spLocks noChangeArrowheads="1"/>
          </xdr:cNvSpPr>
        </xdr:nvSpPr>
        <xdr:spPr bwMode="auto">
          <a:xfrm>
            <a:off x="452" y="491"/>
            <a:ext cx="66"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850,00 €</a:t>
            </a:r>
          </a:p>
        </xdr:txBody>
      </xdr:sp>
      <xdr:sp macro="" textlink="">
        <xdr:nvSpPr>
          <xdr:cNvPr id="18" name="Rectangle 15">
            <a:extLst>
              <a:ext uri="{FF2B5EF4-FFF2-40B4-BE49-F238E27FC236}">
                <a16:creationId xmlns:a16="http://schemas.microsoft.com/office/drawing/2014/main" id="{5792229E-8711-2F6A-CCD9-F7D563B86F85}"/>
              </a:ext>
            </a:extLst>
          </xdr:cNvPr>
          <xdr:cNvSpPr>
            <a:spLocks noChangeArrowheads="1"/>
          </xdr:cNvSpPr>
        </xdr:nvSpPr>
        <xdr:spPr bwMode="auto">
          <a:xfrm>
            <a:off x="50" y="514"/>
            <a:ext cx="84"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01.07.2019</a:t>
            </a:r>
          </a:p>
        </xdr:txBody>
      </xdr:sp>
      <xdr:sp macro="" textlink="">
        <xdr:nvSpPr>
          <xdr:cNvPr id="19" name="Rectangle 16">
            <a:extLst>
              <a:ext uri="{FF2B5EF4-FFF2-40B4-BE49-F238E27FC236}">
                <a16:creationId xmlns:a16="http://schemas.microsoft.com/office/drawing/2014/main" id="{4186C303-083D-A6A9-D6CF-840363B1A602}"/>
              </a:ext>
            </a:extLst>
          </xdr:cNvPr>
          <xdr:cNvSpPr>
            <a:spLocks noChangeArrowheads="1"/>
          </xdr:cNvSpPr>
        </xdr:nvSpPr>
        <xdr:spPr bwMode="auto">
          <a:xfrm>
            <a:off x="153" y="514"/>
            <a:ext cx="84"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30.09.2022</a:t>
            </a:r>
          </a:p>
        </xdr:txBody>
      </xdr:sp>
      <xdr:sp macro="" textlink="">
        <xdr:nvSpPr>
          <xdr:cNvPr id="20" name="Rectangle 17">
            <a:extLst>
              <a:ext uri="{FF2B5EF4-FFF2-40B4-BE49-F238E27FC236}">
                <a16:creationId xmlns:a16="http://schemas.microsoft.com/office/drawing/2014/main" id="{3373E158-DF45-841F-963D-68DFE23513CD}"/>
              </a:ext>
            </a:extLst>
          </xdr:cNvPr>
          <xdr:cNvSpPr>
            <a:spLocks noChangeArrowheads="1"/>
          </xdr:cNvSpPr>
        </xdr:nvSpPr>
        <xdr:spPr bwMode="auto">
          <a:xfrm>
            <a:off x="310" y="514"/>
            <a:ext cx="66"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450,01 €</a:t>
            </a:r>
          </a:p>
        </xdr:txBody>
      </xdr:sp>
      <xdr:sp macro="" textlink="">
        <xdr:nvSpPr>
          <xdr:cNvPr id="21" name="Rectangle 18">
            <a:extLst>
              <a:ext uri="{FF2B5EF4-FFF2-40B4-BE49-F238E27FC236}">
                <a16:creationId xmlns:a16="http://schemas.microsoft.com/office/drawing/2014/main" id="{272A7B2C-BCE3-9334-0B20-740359BE81E7}"/>
              </a:ext>
            </a:extLst>
          </xdr:cNvPr>
          <xdr:cNvSpPr>
            <a:spLocks noChangeArrowheads="1"/>
          </xdr:cNvSpPr>
        </xdr:nvSpPr>
        <xdr:spPr bwMode="auto">
          <a:xfrm>
            <a:off x="375" y="514"/>
            <a:ext cx="22"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bis</a:t>
            </a:r>
          </a:p>
        </xdr:txBody>
      </xdr:sp>
      <xdr:sp macro="" textlink="">
        <xdr:nvSpPr>
          <xdr:cNvPr id="22" name="Rectangle 19">
            <a:extLst>
              <a:ext uri="{FF2B5EF4-FFF2-40B4-BE49-F238E27FC236}">
                <a16:creationId xmlns:a16="http://schemas.microsoft.com/office/drawing/2014/main" id="{E8DA6336-50F4-FD93-A6BB-CBA349B3434C}"/>
              </a:ext>
            </a:extLst>
          </xdr:cNvPr>
          <xdr:cNvSpPr>
            <a:spLocks noChangeArrowheads="1"/>
          </xdr:cNvSpPr>
        </xdr:nvSpPr>
        <xdr:spPr bwMode="auto">
          <a:xfrm>
            <a:off x="439" y="514"/>
            <a:ext cx="80"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1.300,00 €</a:t>
            </a:r>
          </a:p>
        </xdr:txBody>
      </xdr:sp>
      <xdr:sp macro="" textlink="">
        <xdr:nvSpPr>
          <xdr:cNvPr id="23" name="Rectangle 20">
            <a:extLst>
              <a:ext uri="{FF2B5EF4-FFF2-40B4-BE49-F238E27FC236}">
                <a16:creationId xmlns:a16="http://schemas.microsoft.com/office/drawing/2014/main" id="{03CAE925-4BAE-1661-4FA6-3EE9583F1C84}"/>
              </a:ext>
            </a:extLst>
          </xdr:cNvPr>
          <xdr:cNvSpPr>
            <a:spLocks noChangeArrowheads="1"/>
          </xdr:cNvSpPr>
        </xdr:nvSpPr>
        <xdr:spPr bwMode="auto">
          <a:xfrm>
            <a:off x="50" y="537"/>
            <a:ext cx="84"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01.10.2022</a:t>
            </a:r>
          </a:p>
        </xdr:txBody>
      </xdr:sp>
      <xdr:sp macro="" textlink="">
        <xdr:nvSpPr>
          <xdr:cNvPr id="24" name="Rectangle 21">
            <a:extLst>
              <a:ext uri="{FF2B5EF4-FFF2-40B4-BE49-F238E27FC236}">
                <a16:creationId xmlns:a16="http://schemas.microsoft.com/office/drawing/2014/main" id="{56F89550-3266-B19C-3267-5B70B6418B2E}"/>
              </a:ext>
            </a:extLst>
          </xdr:cNvPr>
          <xdr:cNvSpPr>
            <a:spLocks noChangeArrowheads="1"/>
          </xdr:cNvSpPr>
        </xdr:nvSpPr>
        <xdr:spPr bwMode="auto">
          <a:xfrm>
            <a:off x="153" y="537"/>
            <a:ext cx="84"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31.12.2022</a:t>
            </a:r>
          </a:p>
        </xdr:txBody>
      </xdr:sp>
      <xdr:sp macro="" textlink="">
        <xdr:nvSpPr>
          <xdr:cNvPr id="25" name="Rectangle 22">
            <a:extLst>
              <a:ext uri="{FF2B5EF4-FFF2-40B4-BE49-F238E27FC236}">
                <a16:creationId xmlns:a16="http://schemas.microsoft.com/office/drawing/2014/main" id="{EE9627B2-E683-02BB-9372-2D225BB14762}"/>
              </a:ext>
            </a:extLst>
          </xdr:cNvPr>
          <xdr:cNvSpPr>
            <a:spLocks noChangeArrowheads="1"/>
          </xdr:cNvSpPr>
        </xdr:nvSpPr>
        <xdr:spPr bwMode="auto">
          <a:xfrm>
            <a:off x="310" y="537"/>
            <a:ext cx="66"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520,01 €</a:t>
            </a:r>
          </a:p>
        </xdr:txBody>
      </xdr:sp>
      <xdr:sp macro="" textlink="">
        <xdr:nvSpPr>
          <xdr:cNvPr id="26" name="Rectangle 23">
            <a:extLst>
              <a:ext uri="{FF2B5EF4-FFF2-40B4-BE49-F238E27FC236}">
                <a16:creationId xmlns:a16="http://schemas.microsoft.com/office/drawing/2014/main" id="{E2DF3DC0-A56B-0D39-2833-DA4E5AF8A742}"/>
              </a:ext>
            </a:extLst>
          </xdr:cNvPr>
          <xdr:cNvSpPr>
            <a:spLocks noChangeArrowheads="1"/>
          </xdr:cNvSpPr>
        </xdr:nvSpPr>
        <xdr:spPr bwMode="auto">
          <a:xfrm>
            <a:off x="375" y="537"/>
            <a:ext cx="22"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bis</a:t>
            </a:r>
          </a:p>
        </xdr:txBody>
      </xdr:sp>
      <xdr:sp macro="" textlink="">
        <xdr:nvSpPr>
          <xdr:cNvPr id="27" name="Rectangle 24">
            <a:extLst>
              <a:ext uri="{FF2B5EF4-FFF2-40B4-BE49-F238E27FC236}">
                <a16:creationId xmlns:a16="http://schemas.microsoft.com/office/drawing/2014/main" id="{0B2799B0-E44F-4715-09A0-9ED54C8B0A07}"/>
              </a:ext>
            </a:extLst>
          </xdr:cNvPr>
          <xdr:cNvSpPr>
            <a:spLocks noChangeArrowheads="1"/>
          </xdr:cNvSpPr>
        </xdr:nvSpPr>
        <xdr:spPr bwMode="auto">
          <a:xfrm>
            <a:off x="439" y="537"/>
            <a:ext cx="80"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1.600,00 €</a:t>
            </a:r>
          </a:p>
        </xdr:txBody>
      </xdr:sp>
      <xdr:sp macro="" textlink="">
        <xdr:nvSpPr>
          <xdr:cNvPr id="28" name="Rectangle 25">
            <a:extLst>
              <a:ext uri="{FF2B5EF4-FFF2-40B4-BE49-F238E27FC236}">
                <a16:creationId xmlns:a16="http://schemas.microsoft.com/office/drawing/2014/main" id="{7F195A28-5365-AFF6-5014-83CE69CDFEE3}"/>
              </a:ext>
            </a:extLst>
          </xdr:cNvPr>
          <xdr:cNvSpPr>
            <a:spLocks noChangeArrowheads="1"/>
          </xdr:cNvSpPr>
        </xdr:nvSpPr>
        <xdr:spPr bwMode="auto">
          <a:xfrm>
            <a:off x="50" y="560"/>
            <a:ext cx="84"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01.01.2023</a:t>
            </a:r>
          </a:p>
        </xdr:txBody>
      </xdr:sp>
      <xdr:sp macro="" textlink="">
        <xdr:nvSpPr>
          <xdr:cNvPr id="29" name="Rectangle 26">
            <a:extLst>
              <a:ext uri="{FF2B5EF4-FFF2-40B4-BE49-F238E27FC236}">
                <a16:creationId xmlns:a16="http://schemas.microsoft.com/office/drawing/2014/main" id="{B13EA377-A6C6-0A0F-100C-3B9EE71DB55B}"/>
              </a:ext>
            </a:extLst>
          </xdr:cNvPr>
          <xdr:cNvSpPr>
            <a:spLocks noChangeArrowheads="1"/>
          </xdr:cNvSpPr>
        </xdr:nvSpPr>
        <xdr:spPr bwMode="auto">
          <a:xfrm>
            <a:off x="153" y="560"/>
            <a:ext cx="84"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31.12.2023</a:t>
            </a:r>
          </a:p>
        </xdr:txBody>
      </xdr:sp>
      <xdr:sp macro="" textlink="">
        <xdr:nvSpPr>
          <xdr:cNvPr id="30" name="Rectangle 27">
            <a:extLst>
              <a:ext uri="{FF2B5EF4-FFF2-40B4-BE49-F238E27FC236}">
                <a16:creationId xmlns:a16="http://schemas.microsoft.com/office/drawing/2014/main" id="{AFEF6008-EF72-A0A0-4CBA-BBA80F5CD7AB}"/>
              </a:ext>
            </a:extLst>
          </xdr:cNvPr>
          <xdr:cNvSpPr>
            <a:spLocks noChangeArrowheads="1"/>
          </xdr:cNvSpPr>
        </xdr:nvSpPr>
        <xdr:spPr bwMode="auto">
          <a:xfrm>
            <a:off x="310" y="560"/>
            <a:ext cx="66"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520,01 €</a:t>
            </a:r>
          </a:p>
        </xdr:txBody>
      </xdr:sp>
      <xdr:sp macro="" textlink="">
        <xdr:nvSpPr>
          <xdr:cNvPr id="31" name="Rectangle 28">
            <a:extLst>
              <a:ext uri="{FF2B5EF4-FFF2-40B4-BE49-F238E27FC236}">
                <a16:creationId xmlns:a16="http://schemas.microsoft.com/office/drawing/2014/main" id="{E4E967A1-09B6-6832-46A6-4A174AC86B5D}"/>
              </a:ext>
            </a:extLst>
          </xdr:cNvPr>
          <xdr:cNvSpPr>
            <a:spLocks noChangeArrowheads="1"/>
          </xdr:cNvSpPr>
        </xdr:nvSpPr>
        <xdr:spPr bwMode="auto">
          <a:xfrm>
            <a:off x="375" y="560"/>
            <a:ext cx="22"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bis</a:t>
            </a:r>
          </a:p>
        </xdr:txBody>
      </xdr:sp>
      <xdr:sp macro="" textlink="">
        <xdr:nvSpPr>
          <xdr:cNvPr id="32" name="Rectangle 29">
            <a:extLst>
              <a:ext uri="{FF2B5EF4-FFF2-40B4-BE49-F238E27FC236}">
                <a16:creationId xmlns:a16="http://schemas.microsoft.com/office/drawing/2014/main" id="{EA847142-6B04-E6FD-9DBD-6A2EF96C21F1}"/>
              </a:ext>
            </a:extLst>
          </xdr:cNvPr>
          <xdr:cNvSpPr>
            <a:spLocks noChangeArrowheads="1"/>
          </xdr:cNvSpPr>
        </xdr:nvSpPr>
        <xdr:spPr bwMode="auto">
          <a:xfrm>
            <a:off x="439" y="560"/>
            <a:ext cx="80"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2.000,00 €</a:t>
            </a:r>
          </a:p>
        </xdr:txBody>
      </xdr:sp>
      <xdr:sp macro="" textlink="">
        <xdr:nvSpPr>
          <xdr:cNvPr id="33" name="Rectangle 30">
            <a:extLst>
              <a:ext uri="{FF2B5EF4-FFF2-40B4-BE49-F238E27FC236}">
                <a16:creationId xmlns:a16="http://schemas.microsoft.com/office/drawing/2014/main" id="{4223C41D-14B8-2B4A-7B80-9B69C04474FD}"/>
              </a:ext>
            </a:extLst>
          </xdr:cNvPr>
          <xdr:cNvSpPr>
            <a:spLocks noChangeArrowheads="1"/>
          </xdr:cNvSpPr>
        </xdr:nvSpPr>
        <xdr:spPr bwMode="auto">
          <a:xfrm>
            <a:off x="50" y="583"/>
            <a:ext cx="84"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01.01.2024</a:t>
            </a:r>
          </a:p>
        </xdr:txBody>
      </xdr:sp>
      <xdr:sp macro="" textlink="">
        <xdr:nvSpPr>
          <xdr:cNvPr id="34" name="Rectangle 31">
            <a:extLst>
              <a:ext uri="{FF2B5EF4-FFF2-40B4-BE49-F238E27FC236}">
                <a16:creationId xmlns:a16="http://schemas.microsoft.com/office/drawing/2014/main" id="{9D92BD10-A180-008B-05D1-F13F2FFFAF97}"/>
              </a:ext>
            </a:extLst>
          </xdr:cNvPr>
          <xdr:cNvSpPr>
            <a:spLocks noChangeArrowheads="1"/>
          </xdr:cNvSpPr>
        </xdr:nvSpPr>
        <xdr:spPr bwMode="auto">
          <a:xfrm>
            <a:off x="153" y="583"/>
            <a:ext cx="84"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31.12.2024</a:t>
            </a:r>
          </a:p>
        </xdr:txBody>
      </xdr:sp>
      <xdr:sp macro="" textlink="">
        <xdr:nvSpPr>
          <xdr:cNvPr id="35" name="Rectangle 32">
            <a:extLst>
              <a:ext uri="{FF2B5EF4-FFF2-40B4-BE49-F238E27FC236}">
                <a16:creationId xmlns:a16="http://schemas.microsoft.com/office/drawing/2014/main" id="{6AE1D3D4-217B-429C-6233-31FB99E785D6}"/>
              </a:ext>
            </a:extLst>
          </xdr:cNvPr>
          <xdr:cNvSpPr>
            <a:spLocks noChangeArrowheads="1"/>
          </xdr:cNvSpPr>
        </xdr:nvSpPr>
        <xdr:spPr bwMode="auto">
          <a:xfrm>
            <a:off x="310" y="583"/>
            <a:ext cx="66"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538,01 €</a:t>
            </a:r>
          </a:p>
        </xdr:txBody>
      </xdr:sp>
      <xdr:sp macro="" textlink="">
        <xdr:nvSpPr>
          <xdr:cNvPr id="36" name="Rectangle 33">
            <a:extLst>
              <a:ext uri="{FF2B5EF4-FFF2-40B4-BE49-F238E27FC236}">
                <a16:creationId xmlns:a16="http://schemas.microsoft.com/office/drawing/2014/main" id="{12A363A4-38B3-DD3F-0A78-70A401682C03}"/>
              </a:ext>
            </a:extLst>
          </xdr:cNvPr>
          <xdr:cNvSpPr>
            <a:spLocks noChangeArrowheads="1"/>
          </xdr:cNvSpPr>
        </xdr:nvSpPr>
        <xdr:spPr bwMode="auto">
          <a:xfrm>
            <a:off x="375" y="583"/>
            <a:ext cx="22"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bis</a:t>
            </a:r>
          </a:p>
        </xdr:txBody>
      </xdr:sp>
      <xdr:sp macro="" textlink="">
        <xdr:nvSpPr>
          <xdr:cNvPr id="37" name="Rectangle 34">
            <a:extLst>
              <a:ext uri="{FF2B5EF4-FFF2-40B4-BE49-F238E27FC236}">
                <a16:creationId xmlns:a16="http://schemas.microsoft.com/office/drawing/2014/main" id="{91A1A33B-5696-D5E4-81E3-7482A708232D}"/>
              </a:ext>
            </a:extLst>
          </xdr:cNvPr>
          <xdr:cNvSpPr>
            <a:spLocks noChangeArrowheads="1"/>
          </xdr:cNvSpPr>
        </xdr:nvSpPr>
        <xdr:spPr bwMode="auto">
          <a:xfrm>
            <a:off x="439" y="583"/>
            <a:ext cx="80"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2.000,00 €</a:t>
            </a:r>
          </a:p>
        </xdr:txBody>
      </xdr:sp>
      <xdr:sp macro="" textlink="">
        <xdr:nvSpPr>
          <xdr:cNvPr id="38" name="Rectangle 35">
            <a:extLst>
              <a:ext uri="{FF2B5EF4-FFF2-40B4-BE49-F238E27FC236}">
                <a16:creationId xmlns:a16="http://schemas.microsoft.com/office/drawing/2014/main" id="{3FA27BF8-DA2F-1319-924D-6A4812314F15}"/>
              </a:ext>
            </a:extLst>
          </xdr:cNvPr>
          <xdr:cNvSpPr>
            <a:spLocks noChangeArrowheads="1"/>
          </xdr:cNvSpPr>
        </xdr:nvSpPr>
        <xdr:spPr bwMode="auto">
          <a:xfrm>
            <a:off x="50" y="606"/>
            <a:ext cx="84"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01.01.2025</a:t>
            </a:r>
          </a:p>
        </xdr:txBody>
      </xdr:sp>
      <xdr:sp macro="" textlink="">
        <xdr:nvSpPr>
          <xdr:cNvPr id="39" name="Rectangle 36">
            <a:extLst>
              <a:ext uri="{FF2B5EF4-FFF2-40B4-BE49-F238E27FC236}">
                <a16:creationId xmlns:a16="http://schemas.microsoft.com/office/drawing/2014/main" id="{5E5162B5-0A2B-DAD4-2D3F-458556EEE52D}"/>
              </a:ext>
            </a:extLst>
          </xdr:cNvPr>
          <xdr:cNvSpPr>
            <a:spLocks noChangeArrowheads="1"/>
          </xdr:cNvSpPr>
        </xdr:nvSpPr>
        <xdr:spPr bwMode="auto">
          <a:xfrm>
            <a:off x="310" y="606"/>
            <a:ext cx="66"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556,01 €</a:t>
            </a:r>
          </a:p>
        </xdr:txBody>
      </xdr:sp>
      <xdr:sp macro="" textlink="">
        <xdr:nvSpPr>
          <xdr:cNvPr id="40" name="Rectangle 37">
            <a:extLst>
              <a:ext uri="{FF2B5EF4-FFF2-40B4-BE49-F238E27FC236}">
                <a16:creationId xmlns:a16="http://schemas.microsoft.com/office/drawing/2014/main" id="{E365A149-71EA-110B-D7C1-B7FB20243432}"/>
              </a:ext>
            </a:extLst>
          </xdr:cNvPr>
          <xdr:cNvSpPr>
            <a:spLocks noChangeArrowheads="1"/>
          </xdr:cNvSpPr>
        </xdr:nvSpPr>
        <xdr:spPr bwMode="auto">
          <a:xfrm>
            <a:off x="375" y="606"/>
            <a:ext cx="22"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bis</a:t>
            </a:r>
          </a:p>
        </xdr:txBody>
      </xdr:sp>
      <xdr:sp macro="" textlink="">
        <xdr:nvSpPr>
          <xdr:cNvPr id="41" name="Rectangle 38">
            <a:extLst>
              <a:ext uri="{FF2B5EF4-FFF2-40B4-BE49-F238E27FC236}">
                <a16:creationId xmlns:a16="http://schemas.microsoft.com/office/drawing/2014/main" id="{AD50A49D-D504-81B7-99C5-F23B2F73D2E2}"/>
              </a:ext>
            </a:extLst>
          </xdr:cNvPr>
          <xdr:cNvSpPr>
            <a:spLocks noChangeArrowheads="1"/>
          </xdr:cNvSpPr>
        </xdr:nvSpPr>
        <xdr:spPr bwMode="auto">
          <a:xfrm>
            <a:off x="439" y="606"/>
            <a:ext cx="80"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0" i="0" u="none" strike="noStrike" baseline="0">
                <a:solidFill>
                  <a:srgbClr val="000000"/>
                </a:solidFill>
                <a:latin typeface="Arial"/>
                <a:cs typeface="Arial"/>
              </a:rPr>
              <a:t>2.000,00 €</a:t>
            </a:r>
          </a:p>
        </xdr:txBody>
      </xdr:sp>
      <xdr:sp macro="" textlink="">
        <xdr:nvSpPr>
          <xdr:cNvPr id="42" name="Rectangle 39">
            <a:extLst>
              <a:ext uri="{FF2B5EF4-FFF2-40B4-BE49-F238E27FC236}">
                <a16:creationId xmlns:a16="http://schemas.microsoft.com/office/drawing/2014/main" id="{70FB5BE1-93B2-2B71-9F22-BDB21A681459}"/>
              </a:ext>
            </a:extLst>
          </xdr:cNvPr>
          <xdr:cNvSpPr>
            <a:spLocks noChangeArrowheads="1"/>
          </xdr:cNvSpPr>
        </xdr:nvSpPr>
        <xdr:spPr bwMode="auto">
          <a:xfrm>
            <a:off x="281" y="422"/>
            <a:ext cx="228" cy="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0" tIns="0" rIns="0" bIns="0" anchor="t">
            <a:spAutoFit/>
          </a:bodyPr>
          <a:lstStyle/>
          <a:p>
            <a:pPr algn="l" rtl="0">
              <a:defRPr sz="1000"/>
            </a:pPr>
            <a:r>
              <a:rPr lang="de-DE" sz="1000" b="1" i="0" u="none" strike="noStrike" baseline="0">
                <a:solidFill>
                  <a:srgbClr val="000000"/>
                </a:solidFill>
                <a:latin typeface="Arial"/>
                <a:cs typeface="Arial"/>
              </a:rPr>
              <a:t>Gleitzone/Übergangsbereich</a:t>
            </a:r>
          </a:p>
        </xdr:txBody>
      </xdr:sp>
    </xdr:grp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0</xdr:colOff>
      <xdr:row>2</xdr:row>
      <xdr:rowOff>0</xdr:rowOff>
    </xdr:from>
    <xdr:to>
      <xdr:col>1</xdr:col>
      <xdr:colOff>171450</xdr:colOff>
      <xdr:row>3</xdr:row>
      <xdr:rowOff>38100</xdr:rowOff>
    </xdr:to>
    <xdr:sp macro="" textlink="">
      <xdr:nvSpPr>
        <xdr:cNvPr id="2" name="Inhalt">
          <a:hlinkClick xmlns:r="http://schemas.openxmlformats.org/officeDocument/2006/relationships" r:id="rId1"/>
          <a:extLst>
            <a:ext uri="{FF2B5EF4-FFF2-40B4-BE49-F238E27FC236}">
              <a16:creationId xmlns:a16="http://schemas.microsoft.com/office/drawing/2014/main" id="{FEAAD033-5CB6-46B6-BB63-8F85F76990BD}"/>
            </a:ext>
          </a:extLst>
        </xdr:cNvPr>
        <xdr:cNvSpPr txBox="1"/>
      </xdr:nvSpPr>
      <xdr:spPr>
        <a:xfrm>
          <a:off x="0" y="381000"/>
          <a:ext cx="12192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r"/>
          <a:r>
            <a:rPr lang="de-DE" sz="1000" b="0" i="0" u="words">
              <a:solidFill>
                <a:srgbClr xmlns:mc="http://schemas.openxmlformats.org/markup-compatibility/2006" xmlns:a14="http://schemas.microsoft.com/office/drawing/2010/main" val="0000FF" mc:Ignorable="a14" a14:legacySpreadsheetColorIndex="12"/>
              </a:solidFill>
              <a:latin typeface="Arial" panose="020B0604020202020204" pitchFamily="34" charset="0"/>
            </a:rPr>
            <a:t>zurück zum Inhalt</a:t>
          </a:r>
        </a:p>
      </xdr:txBody>
    </xdr:sp>
    <xdr:clientData fPrintsWithSheet="0"/>
  </xdr:twoCellAnchor>
</xdr:wsDr>
</file>

<file path=xl/drawings/drawing26.xml><?xml version="1.0" encoding="utf-8"?>
<xdr:wsDr xmlns:xdr="http://schemas.openxmlformats.org/drawingml/2006/spreadsheetDrawing" xmlns:a="http://schemas.openxmlformats.org/drawingml/2006/main">
  <xdr:oneCellAnchor>
    <xdr:from>
      <xdr:col>0</xdr:col>
      <xdr:colOff>60960</xdr:colOff>
      <xdr:row>0</xdr:row>
      <xdr:rowOff>38100</xdr:rowOff>
    </xdr:from>
    <xdr:ext cx="1785486" cy="382137"/>
    <xdr:pic>
      <xdr:nvPicPr>
        <xdr:cNvPr id="2" name="BA-Logo">
          <a:extLst>
            <a:ext uri="{FF2B5EF4-FFF2-40B4-BE49-F238E27FC236}">
              <a16:creationId xmlns:a16="http://schemas.microsoft.com/office/drawing/2014/main" id="{78CF8AF1-FCDC-4DDC-BCE4-E32E4F7B4B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38100"/>
          <a:ext cx="1785486" cy="3821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tatistik.arbeitsagentur.de/" TargetMode="External"/><Relationship Id="rId7" Type="http://schemas.openxmlformats.org/officeDocument/2006/relationships/drawing" Target="../drawings/drawing2.xml"/><Relationship Id="rId2" Type="http://schemas.openxmlformats.org/officeDocument/2006/relationships/hyperlink" Target="https://statistik.arbeitsagentur.de/DE/Home/Service/Impressum/impressum_node.html;jsessionid=9F101EB9A89794EB06678A9C714EA454" TargetMode="External"/><Relationship Id="rId1" Type="http://schemas.openxmlformats.org/officeDocument/2006/relationships/hyperlink" Target="https://statistik.arbeitsagentur.de/" TargetMode="External"/><Relationship Id="rId6" Type="http://schemas.openxmlformats.org/officeDocument/2006/relationships/printerSettings" Target="../printerSettings/printerSettings2.bin"/><Relationship Id="rId5" Type="http://schemas.openxmlformats.org/officeDocument/2006/relationships/hyperlink" Target="mailto:Statistik-Service-Suedost@arbeitsagentur.de" TargetMode="External"/><Relationship Id="rId4" Type="http://schemas.openxmlformats.org/officeDocument/2006/relationships/hyperlink" Target="mailto:Statistik-Service-Ost@arbeitsagentur.d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hyperlink" Target="https://statistik.arbeitsagentur.de/DE/Statischer-Content/Grundlagen/Klassifikationen/Klassifikation-der-Berufe/KldB2010-Fassung2020/Arbeitsmittel/Generische-Publikationen/Berufsaggregate/Handwerksberufe-Aggregat.pdf?__blob=publicationFile&amp;v=4" TargetMode="External"/><Relationship Id="rId7" Type="http://schemas.openxmlformats.org/officeDocument/2006/relationships/drawing" Target="../drawings/drawing20.xml"/><Relationship Id="rId2" Type="http://schemas.openxmlformats.org/officeDocument/2006/relationships/hyperlink" Target="https://statistik.arbeitsagentur.de/DE/Statischer-Content/Grundlagen/Klassifikationen/Klassifikation-der-Berufe/KldB2010-Fassung2020/Arbeitsmittel/Generische-Publikationen/Berufsaggregate/Bauberufe-Aggregat.pdf?__blob=publicationFile&amp;v=5" TargetMode="External"/><Relationship Id="rId1" Type="http://schemas.openxmlformats.org/officeDocument/2006/relationships/hyperlink" Target="https://statistik.arbeitsagentur.de/DE/Navigation/Grundlagen/Klassifikationen/Klassifikation-der-Berufe/Klassifikation-der-Berufe-Nav.html" TargetMode="External"/><Relationship Id="rId6" Type="http://schemas.openxmlformats.org/officeDocument/2006/relationships/printerSettings" Target="../printerSettings/printerSettings20.bin"/><Relationship Id="rId5" Type="http://schemas.openxmlformats.org/officeDocument/2006/relationships/hyperlink" Target="https://statistik.arbeitsagentur.de/DE/Statischer-Content/Grundlagen/Klassifikationen/Klassifikation-der-Berufe/KldB2010-Fassung2020/Arbeitsmittel/Generische-Publikationen/Berufsaggregate/MINT-Berufe-Aggregat.pdf?__blob=publicationFile&amp;v=9" TargetMode="External"/><Relationship Id="rId4" Type="http://schemas.openxmlformats.org/officeDocument/2006/relationships/hyperlink" Target="https://statistik.arbeitsagentur.de/DE/Statischer-Content/Grundlagen/Klassifikationen/Klassifikation-der-Berufe/KldB2010-Fassung2020/Arbeitsmittel/Generische-Publikationen/Berufsaggregate/Ingenieur-Aggregat.pdf?__blob=publicationFile&amp;v=4"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https://statistik.arbeitsagentur.de/DE/Statischer-Content/Grundlagen/Methodik-Qualitaet/Methodenberichte/Beschaeftigungsstatistik/Generische-Publikationen/Methodenbericht-Befristete-Beschaeftigung.pdf?__blob=publicationFile"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s://statistik.arbeitsagentur.de/DE/Statischer-Content/Grundlagen/Methodik-Qualitaet/Qualitaetsberichte/Generische-Publikationen/Qualitaetsbericht-Statistik-Beschaeftigung.pdf?__blob=publicationFile"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statistik.arbeitsagentur.de/DE/Statischer-Content/Grundlagen/Methodik-Qualitaet/Methodenberichte/Beschaeftigungsstatistik/Generische-Publikationen/Methodenbericht-Partielle-Revision-2023.pdf;jsessionid=BAA51E667C78C2E98EC6637EDC338E95?__blob=publicationFile&amp;v=3" TargetMode="External"/><Relationship Id="rId2" Type="http://schemas.openxmlformats.org/officeDocument/2006/relationships/hyperlink" Target="https://statistik.arbeitsagentur.de/DE/Statischer-Content/Grundlagen/Methodik-Qualitaet/Methodenberichte/Beschaeftigungsstatistik/Generische-Publikationen/Methodenbericht-Beschaeftigungsstatistik-Revision-2014.pdf?__blob=publicationFile" TargetMode="External"/><Relationship Id="rId1" Type="http://schemas.openxmlformats.org/officeDocument/2006/relationships/hyperlink" Target="https://statistik.arbeitsagentur.de/DE/Statischer-Content/Grundlagen/Methodik-Qualitaet/Methodenberichte/Beschaeftigungsstatistik/Generische-Publikationen/Methodenbericht-Revision-der-Beschaeftigungsstatistik-2017.pdf?__blob=publicationFile" TargetMode="External"/><Relationship Id="rId5" Type="http://schemas.openxmlformats.org/officeDocument/2006/relationships/drawing" Target="../drawings/drawing23.xml"/><Relationship Id="rId4"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https://statistik.arbeitsagentur.de/DE/Statischer-Content/Grundlagen/Methodik-Qualitaet/Qualitaetsberichte/Generische-Publikationen/Qualitaetsbericht-Statistik-Beschaeftigung.pdf?__blob=publicationFile&amp;v=10" TargetMode="Externa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https://statistik.arbeitsagentur.de/DE/Navigation/Statistiken/Fachstatistiken/Leistungen-SGBIII/Leistungen-SGBIII-Nav.html?mtm_campaign=Bericht" TargetMode="External"/><Relationship Id="rId18" Type="http://schemas.openxmlformats.org/officeDocument/2006/relationships/hyperlink" Target="https://statistik.arbeitsagentur.de/DE/Navigation/Statistiken/Themen-im-Fokus/Entgelt/Entgelt-Nav.html?mtm_campaign=Bericht" TargetMode="External"/><Relationship Id="rId26" Type="http://schemas.openxmlformats.org/officeDocument/2006/relationships/hyperlink" Target="https://statistik.arbeitsagentur.de/DE/Navigation/Statistiken/Themen-im-Fokus/Wirtschaftszweige/Wirtschaftszweige-Nav.html?mtm_campaign=Bericht" TargetMode="External"/><Relationship Id="rId3" Type="http://schemas.openxmlformats.org/officeDocument/2006/relationships/hyperlink" Target="https://statistik.arbeitsagentur.de/DE/Statischer-Content/Grundlagen/Definitionen/Generische-Publikationen/Abkuerzungsverzeichnis.pdf" TargetMode="External"/><Relationship Id="rId21" Type="http://schemas.openxmlformats.org/officeDocument/2006/relationships/hyperlink" Target="https://statistik.arbeitsagentur.de/DE/Navigation/Statistiken/Themen-im-Fokus/Frauen-und-Maenner/Frauen-und-Maenner-Nav.html?mtm_campaign=Bericht" TargetMode="External"/><Relationship Id="rId34" Type="http://schemas.openxmlformats.org/officeDocument/2006/relationships/drawing" Target="../drawings/drawing26.xml"/><Relationship Id="rId7" Type="http://schemas.openxmlformats.org/officeDocument/2006/relationships/hyperlink" Target="https://statistik.arbeitsagentur.de/DE/Navigation/Statistiken/Fachstatistiken/Ausbildungsmarkt/Ausbildungsmarkt-Nav.html?mtm_campaign=Bericht" TargetMode="External"/><Relationship Id="rId12" Type="http://schemas.openxmlformats.org/officeDocument/2006/relationships/hyperlink" Target="https://statistik.arbeitsagentur.de/DE/Navigation/Statistiken/Fachstatistiken/Grundsicherung-fuer-Arbeitsuchende-SGBII/Grundsicherung-fuer-Arbeitsuchende-SGBII-Nav.html?mtm_campaign=Bericht" TargetMode="External"/><Relationship Id="rId17" Type="http://schemas.openxmlformats.org/officeDocument/2006/relationships/hyperlink" Target="https://statistik.arbeitsagentur.de/DE/Navigation/Statistiken/Themen-im-Fokus/Eingliederungsbilanzen/Eingliederungsbilanzen-Nav.html?mtm_campaign=Bericht" TargetMode="External"/><Relationship Id="rId25" Type="http://schemas.openxmlformats.org/officeDocument/2006/relationships/hyperlink" Target="https://statistik.arbeitsagentur.de/DE/Navigation/Statistiken/Themen-im-Fokus/Regionale-Mobilitaet/Regionale-Mobilitaet-Nav.html?mtm_campaign=Bericht" TargetMode="External"/><Relationship Id="rId33" Type="http://schemas.openxmlformats.org/officeDocument/2006/relationships/printerSettings" Target="../printerSettings/printerSettings26.bin"/><Relationship Id="rId2" Type="http://schemas.openxmlformats.org/officeDocument/2006/relationships/hyperlink" Target="https://statistik.arbeitsagentur.de/DE/Navigation/Grundlagen/Definitionen/Glossar/Glossar-Nav.html" TargetMode="External"/><Relationship Id="rId16" Type="http://schemas.openxmlformats.org/officeDocument/2006/relationships/hyperlink" Target="https://statistik.arbeitsagentur.de/DE/Navigation/Statistiken/Themen-im-Fokus/Demografie/Demografie-Nav.html?mtm_campaign=Bericht" TargetMode="External"/><Relationship Id="rId20" Type="http://schemas.openxmlformats.org/officeDocument/2006/relationships/hyperlink" Target="https://statistik.arbeitsagentur.de/DE/Navigation/Statistiken/Themen-im-Fokus/Familien-Kinder/Familien-und-Kinder-Nav.html?mtm_campaign=Bericht" TargetMode="External"/><Relationship Id="rId29" Type="http://schemas.openxmlformats.org/officeDocument/2006/relationships/hyperlink" Target="https://statistik.arbeitsagentur.de/DE/Navigation/Statistiken/Themen-im-Fokus/Juengere/Juengere-Nav.html?mtm_campaign=Bericht" TargetMode="External"/><Relationship Id="rId1" Type="http://schemas.openxmlformats.org/officeDocument/2006/relationships/hyperlink" Target="https://statistik.arbeitsagentur.de/Statischer-Content/Grundlagen/Glossare/Generische-Publikationen/Gesamtglossar.pdf" TargetMode="External"/><Relationship Id="rId6" Type="http://schemas.openxmlformats.org/officeDocument/2006/relationships/hyperlink" Target="https://statistik.arbeitsagentur.de/DE/Navigation/Statistiken/Fachstatistiken/Arbeitsuche-Arbeitslosigkeit-Unterbeschaeftigung/Arbeitsuche-Arbeitslosigkeit-Unterbeschaeftigung-Nav.html?mtm_campaign=Bericht" TargetMode="External"/><Relationship Id="rId11" Type="http://schemas.openxmlformats.org/officeDocument/2006/relationships/hyperlink" Target="https://statistik.arbeitsagentur.de/DE/Navigation/Statistiken/Fachstatistiken/Gemeldete-Arbeitsstellen/Gemeldete-Arbeitsstellen-Nav.html?mtm_campaign=Bericht" TargetMode="External"/><Relationship Id="rId24" Type="http://schemas.openxmlformats.org/officeDocument/2006/relationships/hyperlink" Target="https://statistik.arbeitsagentur.de/DE/Navigation/Statistiken/Themen-im-Fokus/Migration/Migration-Nav.html?mtm_campaign=Bericht" TargetMode="External"/><Relationship Id="rId32" Type="http://schemas.openxmlformats.org/officeDocument/2006/relationships/hyperlink" Target="https://statistik.arbeitsagentur.de/DE/Navigation/Statistiken/Themen-im-Fokus/Transformation/Transformation-Nav.html?mtm_campaign=Bericht" TargetMode="External"/><Relationship Id="rId5" Type="http://schemas.openxmlformats.org/officeDocument/2006/relationships/hyperlink" Target="https://statistik.arbeitsagentur.de/DE/Navigation/Grundlagen/Methodik-Qualitaet/Qualitaetsberichte/Qualitaetsberichte-Nav.html?mtm_campaign=Bericht" TargetMode="External"/><Relationship Id="rId15" Type="http://schemas.openxmlformats.org/officeDocument/2006/relationships/hyperlink" Target="https://statistik.arbeitsagentur.de/DE/Navigation/Statistiken/Themen-im-Fokus/Bildung/Bildung-Nav.html?mtm_campaign=Bericht" TargetMode="External"/><Relationship Id="rId23" Type="http://schemas.openxmlformats.org/officeDocument/2006/relationships/hyperlink" Target="https://statistik.arbeitsagentur.de/DE/Navigation/Statistiken/Themen-im-Fokus/Menschen-mit-Behinderungen/Menschen-mit-Behinderungen-Nav.html?mtm_campaign=Bericht" TargetMode="External"/><Relationship Id="rId28" Type="http://schemas.openxmlformats.org/officeDocument/2006/relationships/hyperlink" Target="https://statistik.arbeitsagentur.de/DE/Navigation/Statistiken/Themen-im-Fokus/Juengere/Juengere-Nav.html?mtm_campaign=Bericht" TargetMode="External"/><Relationship Id="rId10" Type="http://schemas.openxmlformats.org/officeDocument/2006/relationships/hyperlink" Target="https://statistik.arbeitsagentur.de/DE/Navigation/Statistiken/Fachstatistiken/Foerderung-und-berufliche-Rehabilitation/Foerderung-und-berufliche-Rehabilitation-Nav.html?mtm_campaign=Bericht" TargetMode="External"/><Relationship Id="rId19" Type="http://schemas.openxmlformats.org/officeDocument/2006/relationships/hyperlink" Target="https://statistik.arbeitsagentur.de/DE/Navigation/Statistiken/Themen-im-Fokus/Fachkraeftebedarf/Fachkraeftebedarf-Nav.html?mtm_campaign=Bericht" TargetMode="External"/><Relationship Id="rId31" Type="http://schemas.openxmlformats.org/officeDocument/2006/relationships/hyperlink" Target="https://statistik.arbeitsagentur.de/DE/Navigation/Grundlagen/Methodik-Qualitaet/Methodische-Hinweise/Meth-Hinweise-Nav.html?mtm_campaign=Bericht" TargetMode="External"/><Relationship Id="rId4" Type="http://schemas.openxmlformats.org/officeDocument/2006/relationships/hyperlink" Target="https://statistik.arbeitsagentur.de/DE/Statischer-Content/Grundlagen/Definitionen/Zeichenerklaerung.html?nn=2065302" TargetMode="External"/><Relationship Id="rId9" Type="http://schemas.openxmlformats.org/officeDocument/2006/relationships/hyperlink" Target="https://statistik.arbeitsagentur.de/DE/Navigation/Statistiken/Fachstatistiken/Einnahmen-Ausgaben/Einnahmen-Ausgaben-Nav.html?mtm_campaign=Bericht" TargetMode="External"/><Relationship Id="rId14" Type="http://schemas.openxmlformats.org/officeDocument/2006/relationships/hyperlink" Target="https://statistik.arbeitsagentur.de/DE/Navigation/Statistiken/Themen-im-Fokus/Berufe/Berufe-Nav.html?mtm_campaign=Bericht" TargetMode="External"/><Relationship Id="rId22" Type="http://schemas.openxmlformats.org/officeDocument/2006/relationships/hyperlink" Target="https://statistik.arbeitsagentur.de/DE/Navigation/Statistiken/Themen-im-Fokus/Langzeitarbeitslosigkeit/Langzeitarbeitslosigkeit-Nav.html?mtm_campaign=Bericht" TargetMode="External"/><Relationship Id="rId27" Type="http://schemas.openxmlformats.org/officeDocument/2006/relationships/hyperlink" Target="https://statistik.arbeitsagentur.de/DE/Navigation/Statistiken/Themen-im-Fokus/Zeitarbeit/Zeitarbeit-Nav.html?mtm_campaign=Bericht" TargetMode="External"/><Relationship Id="rId30" Type="http://schemas.openxmlformats.org/officeDocument/2006/relationships/hyperlink" Target="https://statistik.arbeitsagentur.de/DE/Navigation/Statistiken/Themen-im-Fokus/Ukraine-Krieg/Ukraine-Krieg-Nav.html?mtm_campaign=Bericht" TargetMode="External"/><Relationship Id="rId8" Type="http://schemas.openxmlformats.org/officeDocument/2006/relationships/hyperlink" Target="https://statistik.arbeitsagentur.de/DE/Navigation/Statistiken/Fachstatistiken/Beschaeftigung/Beschaeftigung-Nav.html?mtm_campaign=Berich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0B9B5-8363-4351-8CD9-4714D01B7EAD}">
  <sheetPr codeName="Tabelle32">
    <pageSetUpPr fitToPage="1"/>
  </sheetPr>
  <dimension ref="A1"/>
  <sheetViews>
    <sheetView showGridLines="0" zoomScaleNormal="100" zoomScaleSheetLayoutView="100" workbookViewId="0"/>
  </sheetViews>
  <sheetFormatPr defaultColWidth="11.453125" defaultRowHeight="12.5" x14ac:dyDescent="0.25"/>
  <cols>
    <col min="8" max="8" width="26.81640625" customWidth="1"/>
  </cols>
  <sheetData/>
  <dataConsolidate/>
  <pageMargins left="0" right="0" top="0" bottom="0" header="0.15748031496062992" footer="0"/>
  <pageSetup paperSize="9" scale="8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C4A7E-F2F6-4552-ADEE-2BFB6DD74785}">
  <sheetPr codeName="Tabelle4">
    <pageSetUpPr fitToPage="1"/>
  </sheetPr>
  <dimension ref="A1:D41"/>
  <sheetViews>
    <sheetView zoomScaleNormal="100" zoomScaleSheetLayoutView="100" workbookViewId="0"/>
  </sheetViews>
  <sheetFormatPr defaultColWidth="11.453125" defaultRowHeight="15" customHeight="1" x14ac:dyDescent="0.25"/>
  <cols>
    <col min="1" max="1" width="31.7265625" style="3" customWidth="1"/>
    <col min="2" max="2" width="60.7265625" style="3" customWidth="1"/>
    <col min="3" max="16384" width="11.453125" style="3"/>
  </cols>
  <sheetData>
    <row r="1" spans="1:4" ht="33" customHeight="1" x14ac:dyDescent="0.25">
      <c r="A1" s="1"/>
      <c r="B1" s="2"/>
    </row>
    <row r="4" spans="1:4" ht="15" customHeight="1" x14ac:dyDescent="0.25">
      <c r="A4" s="4" t="s">
        <v>0</v>
      </c>
    </row>
    <row r="6" spans="1:4" ht="15" customHeight="1" x14ac:dyDescent="0.25">
      <c r="A6" s="5" t="s">
        <v>1</v>
      </c>
      <c r="B6" s="436" t="s">
        <v>2</v>
      </c>
      <c r="C6" s="436"/>
      <c r="D6" s="436"/>
    </row>
    <row r="7" spans="1:4" ht="9" customHeight="1" x14ac:dyDescent="0.25"/>
    <row r="8" spans="1:4" ht="15" customHeight="1" x14ac:dyDescent="0.25">
      <c r="A8" s="5" t="s">
        <v>3</v>
      </c>
      <c r="B8" s="3">
        <v>709</v>
      </c>
    </row>
    <row r="9" spans="1:4" ht="9" customHeight="1" x14ac:dyDescent="0.25"/>
    <row r="10" spans="1:4" ht="15" customHeight="1" x14ac:dyDescent="0.25">
      <c r="A10" s="5" t="s">
        <v>4</v>
      </c>
      <c r="B10" s="3" t="s">
        <v>5</v>
      </c>
    </row>
    <row r="11" spans="1:4" ht="9" customHeight="1" x14ac:dyDescent="0.25"/>
    <row r="12" spans="1:4" ht="15" customHeight="1" x14ac:dyDescent="0.25">
      <c r="A12" s="5" t="s">
        <v>6</v>
      </c>
      <c r="B12" s="3" t="s">
        <v>7</v>
      </c>
    </row>
    <row r="13" spans="1:4" ht="9" customHeight="1" x14ac:dyDescent="0.25"/>
    <row r="14" spans="1:4" ht="15" customHeight="1" x14ac:dyDescent="0.25">
      <c r="A14" s="5" t="s">
        <v>8</v>
      </c>
      <c r="B14" s="3" t="s">
        <v>9</v>
      </c>
    </row>
    <row r="15" spans="1:4" ht="9" customHeight="1" x14ac:dyDescent="0.25"/>
    <row r="16" spans="1:4" ht="15" customHeight="1" x14ac:dyDescent="0.25">
      <c r="A16" s="5" t="s">
        <v>10</v>
      </c>
      <c r="B16" s="3" t="s">
        <v>11</v>
      </c>
    </row>
    <row r="17" spans="1:2" ht="9" customHeight="1" x14ac:dyDescent="0.25"/>
    <row r="18" spans="1:2" ht="15" customHeight="1" x14ac:dyDescent="0.25">
      <c r="A18" s="5" t="s">
        <v>12</v>
      </c>
      <c r="B18" s="3" t="s">
        <v>13</v>
      </c>
    </row>
    <row r="19" spans="1:2" ht="9" customHeight="1" x14ac:dyDescent="0.25"/>
    <row r="20" spans="1:2" ht="15" customHeight="1" x14ac:dyDescent="0.25">
      <c r="A20" s="5" t="s">
        <v>14</v>
      </c>
      <c r="B20" s="6" t="s">
        <v>15</v>
      </c>
    </row>
    <row r="21" spans="1:2" ht="9" customHeight="1" x14ac:dyDescent="0.25"/>
    <row r="22" spans="1:2" ht="110.25" customHeight="1" x14ac:dyDescent="0.25">
      <c r="A22" s="5" t="s">
        <v>16</v>
      </c>
      <c r="B22" s="3" t="s">
        <v>17</v>
      </c>
    </row>
    <row r="23" spans="1:2" ht="9" customHeight="1" x14ac:dyDescent="0.25">
      <c r="A23" s="5"/>
    </row>
    <row r="24" spans="1:2" ht="9" customHeight="1" x14ac:dyDescent="0.25"/>
    <row r="25" spans="1:2" ht="15" customHeight="1" x14ac:dyDescent="0.25">
      <c r="A25" s="5" t="s">
        <v>18</v>
      </c>
      <c r="B25" s="3" t="s">
        <v>19</v>
      </c>
    </row>
    <row r="26" spans="1:2" ht="15" customHeight="1" x14ac:dyDescent="0.25">
      <c r="B26" s="3" t="s">
        <v>20</v>
      </c>
    </row>
    <row r="27" spans="1:2" ht="15" customHeight="1" x14ac:dyDescent="0.25">
      <c r="A27" s="5" t="s">
        <v>21</v>
      </c>
      <c r="B27" s="3" t="s">
        <v>22</v>
      </c>
    </row>
    <row r="28" spans="1:2" ht="15" customHeight="1" x14ac:dyDescent="0.25">
      <c r="B28" s="3" t="s">
        <v>23</v>
      </c>
    </row>
    <row r="29" spans="1:2" ht="15" customHeight="1" x14ac:dyDescent="0.25">
      <c r="B29" s="3" t="s">
        <v>24</v>
      </c>
    </row>
    <row r="30" spans="1:2" ht="15" customHeight="1" x14ac:dyDescent="0.25">
      <c r="A30" s="3" t="s">
        <v>25</v>
      </c>
      <c r="B30" s="7" t="s">
        <v>26</v>
      </c>
    </row>
    <row r="31" spans="1:2" ht="15" customHeight="1" x14ac:dyDescent="0.25">
      <c r="A31" s="3" t="s">
        <v>27</v>
      </c>
      <c r="B31" s="3" t="s">
        <v>28</v>
      </c>
    </row>
    <row r="32" spans="1:2" ht="15" customHeight="1" x14ac:dyDescent="0.25">
      <c r="A32" s="3" t="s">
        <v>29</v>
      </c>
      <c r="B32" s="3" t="s">
        <v>30</v>
      </c>
    </row>
    <row r="33" spans="1:2" ht="9" customHeight="1" x14ac:dyDescent="0.25"/>
    <row r="34" spans="1:2" ht="15" customHeight="1" x14ac:dyDescent="0.25">
      <c r="A34" s="5" t="s">
        <v>31</v>
      </c>
      <c r="B34" s="8" t="s">
        <v>32</v>
      </c>
    </row>
    <row r="35" spans="1:2" ht="9" customHeight="1" x14ac:dyDescent="0.25"/>
    <row r="36" spans="1:2" ht="15" customHeight="1" x14ac:dyDescent="0.25">
      <c r="A36" s="5" t="s">
        <v>33</v>
      </c>
      <c r="B36" s="3" t="s">
        <v>34</v>
      </c>
    </row>
    <row r="37" spans="1:2" ht="25.5" customHeight="1" x14ac:dyDescent="0.25">
      <c r="B37" s="3" t="s">
        <v>35</v>
      </c>
    </row>
    <row r="38" spans="1:2" ht="9" customHeight="1" x14ac:dyDescent="0.25"/>
    <row r="39" spans="1:2" ht="15" customHeight="1" x14ac:dyDescent="0.25">
      <c r="A39" s="5" t="s">
        <v>36</v>
      </c>
      <c r="B39" s="3" t="s">
        <v>37</v>
      </c>
    </row>
    <row r="40" spans="1:2" ht="15" customHeight="1" x14ac:dyDescent="0.25">
      <c r="B40" s="8" t="s">
        <v>38</v>
      </c>
    </row>
    <row r="41" spans="1:2" ht="105" customHeight="1" x14ac:dyDescent="0.25">
      <c r="B41" s="8" t="s">
        <v>39</v>
      </c>
    </row>
  </sheetData>
  <mergeCells count="1">
    <mergeCell ref="B6:D6"/>
  </mergeCells>
  <hyperlinks>
    <hyperlink ref="B34" r:id="rId1" xr:uid="{B6A898D2-08ED-4386-8319-6725627F1EE0}"/>
    <hyperlink ref="B40" r:id="rId2" xr:uid="{A29B2D3E-8226-4357-A68A-2A6739EDB29D}"/>
    <hyperlink ref="B41" r:id="rId3" display="https://statistik.arbeitsagentur.de/" xr:uid="{D55A8D21-6705-4703-BDE3-29C85B2B50A6}"/>
    <hyperlink ref="C30" r:id="rId4" display="Statistik-Service-Ost@arbeitsagentur.de" xr:uid="{60141EA0-94BB-4EEB-8F03-9D36DA582CC3}"/>
    <hyperlink ref="B30" r:id="rId5" xr:uid="{01E0C065-94E0-4C8C-88AA-F60022D705EB}"/>
  </hyperlinks>
  <pageMargins left="0.70866141732283472" right="0.39370078740157483" top="0.39370078740157483" bottom="0.59055118110236227" header="0.51181102362204722" footer="0.51181102362204722"/>
  <pageSetup paperSize="9" scale="80" orientation="portrait" r:id="rId6"/>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2DAAA-E55E-495C-8A5F-246A70052BAB}">
  <sheetPr codeName="Tabelle13">
    <pageSetUpPr autoPageBreaks="0"/>
  </sheetPr>
  <dimension ref="A1:G62"/>
  <sheetViews>
    <sheetView showGridLines="0" topLeftCell="A10" zoomScaleNormal="100" workbookViewId="0">
      <selection activeCell="G22" sqref="G22"/>
    </sheetView>
  </sheetViews>
  <sheetFormatPr defaultColWidth="11.1796875" defaultRowHeight="16.5" customHeight="1" x14ac:dyDescent="0.25"/>
  <cols>
    <col min="1" max="1" width="4.453125" style="13" customWidth="1"/>
    <col min="2" max="4" width="15.1796875" style="13" customWidth="1"/>
    <col min="5" max="5" width="6.453125" style="13" customWidth="1"/>
    <col min="6" max="6" width="20.7265625" style="13" customWidth="1"/>
    <col min="7" max="7" width="13.26953125" style="14" customWidth="1"/>
    <col min="8" max="16384" width="11.1796875" style="13"/>
  </cols>
  <sheetData>
    <row r="1" spans="1:7" s="12" customFormat="1" ht="33.75" customHeight="1" x14ac:dyDescent="0.25">
      <c r="A1" s="9"/>
      <c r="B1" s="10"/>
      <c r="C1" s="10"/>
      <c r="D1" s="10"/>
      <c r="E1" s="10"/>
      <c r="F1" s="10"/>
      <c r="G1" s="11" t="s">
        <v>40</v>
      </c>
    </row>
    <row r="2" spans="1:7" ht="12.75" customHeight="1" x14ac:dyDescent="0.25"/>
    <row r="3" spans="1:7" ht="12.5" x14ac:dyDescent="0.25"/>
    <row r="4" spans="1:7" ht="15.5" x14ac:dyDescent="0.35">
      <c r="A4" s="15" t="s">
        <v>41</v>
      </c>
      <c r="C4" s="15"/>
      <c r="D4" s="15"/>
      <c r="E4" s="15"/>
      <c r="F4" s="15"/>
    </row>
    <row r="5" spans="1:7" ht="12.5" x14ac:dyDescent="0.25"/>
    <row r="6" spans="1:7" ht="12.5" x14ac:dyDescent="0.25"/>
    <row r="7" spans="1:7" ht="14" x14ac:dyDescent="0.3">
      <c r="A7" s="16" t="s">
        <v>5</v>
      </c>
      <c r="C7" s="17"/>
      <c r="D7" s="17"/>
      <c r="E7" s="17"/>
      <c r="F7" s="17"/>
    </row>
    <row r="8" spans="1:7" ht="15" customHeight="1" x14ac:dyDescent="0.25">
      <c r="A8" s="14" t="s">
        <v>7</v>
      </c>
      <c r="C8" s="18"/>
      <c r="D8" s="18"/>
      <c r="E8" s="18"/>
      <c r="F8" s="18"/>
    </row>
    <row r="9" spans="1:7" ht="15" customHeight="1" x14ac:dyDescent="0.25">
      <c r="A9" s="18" t="s">
        <v>42</v>
      </c>
      <c r="C9" s="18"/>
      <c r="D9" s="18"/>
      <c r="E9" s="18"/>
      <c r="F9" s="18"/>
    </row>
    <row r="10" spans="1:7" ht="15" customHeight="1" x14ac:dyDescent="0.25"/>
    <row r="11" spans="1:7" ht="15" customHeight="1" x14ac:dyDescent="0.3">
      <c r="A11" s="16"/>
    </row>
    <row r="12" spans="1:7" s="14" customFormat="1" ht="15" customHeight="1" x14ac:dyDescent="0.3">
      <c r="A12" s="16" t="s">
        <v>43</v>
      </c>
      <c r="B12" s="16"/>
      <c r="C12" s="16"/>
      <c r="D12" s="16"/>
      <c r="E12" s="16"/>
    </row>
    <row r="13" spans="1:7" s="14" customFormat="1" ht="15" customHeight="1" x14ac:dyDescent="0.25">
      <c r="A13" s="14" t="s">
        <v>44</v>
      </c>
      <c r="F13" s="19"/>
    </row>
    <row r="14" spans="1:7" s="14" customFormat="1" ht="15" customHeight="1" x14ac:dyDescent="0.25">
      <c r="B14" s="14" t="s">
        <v>45</v>
      </c>
      <c r="F14" s="19"/>
      <c r="G14" s="20" t="s">
        <v>46</v>
      </c>
    </row>
    <row r="15" spans="1:7" s="14" customFormat="1" ht="15" customHeight="1" x14ac:dyDescent="0.25">
      <c r="A15" s="14" t="s">
        <v>47</v>
      </c>
      <c r="F15" s="19"/>
    </row>
    <row r="16" spans="1:7" s="14" customFormat="1" ht="15" customHeight="1" x14ac:dyDescent="0.25">
      <c r="B16" s="14" t="s">
        <v>48</v>
      </c>
      <c r="F16" s="19"/>
    </row>
    <row r="17" spans="1:7" s="14" customFormat="1" ht="15" customHeight="1" x14ac:dyDescent="0.25">
      <c r="B17" s="14" t="s">
        <v>49</v>
      </c>
      <c r="F17" s="19"/>
      <c r="G17" s="20" t="s">
        <v>50</v>
      </c>
    </row>
    <row r="18" spans="1:7" s="14" customFormat="1" ht="15" customHeight="1" x14ac:dyDescent="0.25">
      <c r="F18" s="19"/>
    </row>
    <row r="19" spans="1:7" s="14" customFormat="1" ht="15" customHeight="1" x14ac:dyDescent="0.3">
      <c r="A19" s="16" t="s">
        <v>51</v>
      </c>
      <c r="F19" s="19"/>
    </row>
    <row r="20" spans="1:7" s="14" customFormat="1" ht="15" customHeight="1" x14ac:dyDescent="0.25">
      <c r="B20" s="14" t="s">
        <v>52</v>
      </c>
      <c r="F20" s="19"/>
      <c r="G20" s="20" t="s">
        <v>53</v>
      </c>
    </row>
    <row r="21" spans="1:7" s="14" customFormat="1" ht="15" customHeight="1" x14ac:dyDescent="0.25">
      <c r="B21" s="14" t="s">
        <v>45</v>
      </c>
      <c r="F21" s="19"/>
      <c r="G21" s="20" t="s">
        <v>54</v>
      </c>
    </row>
    <row r="22" spans="1:7" s="14" customFormat="1" ht="15" customHeight="1" x14ac:dyDescent="0.25">
      <c r="B22" s="14" t="s">
        <v>55</v>
      </c>
      <c r="F22" s="19"/>
      <c r="G22" s="20" t="s">
        <v>56</v>
      </c>
    </row>
    <row r="23" spans="1:7" s="14" customFormat="1" ht="15" customHeight="1" x14ac:dyDescent="0.25">
      <c r="B23" s="14" t="s">
        <v>57</v>
      </c>
      <c r="F23" s="19"/>
      <c r="G23" s="20" t="s">
        <v>58</v>
      </c>
    </row>
    <row r="24" spans="1:7" s="14" customFormat="1" ht="15" customHeight="1" x14ac:dyDescent="0.25">
      <c r="F24" s="19"/>
    </row>
    <row r="25" spans="1:7" s="14" customFormat="1" ht="15" customHeight="1" x14ac:dyDescent="0.3">
      <c r="A25" s="16" t="s">
        <v>59</v>
      </c>
      <c r="F25" s="19"/>
    </row>
    <row r="26" spans="1:7" s="14" customFormat="1" ht="15" customHeight="1" x14ac:dyDescent="0.25">
      <c r="B26" s="14" t="s">
        <v>52</v>
      </c>
      <c r="F26" s="19"/>
      <c r="G26" s="20" t="s">
        <v>60</v>
      </c>
    </row>
    <row r="27" spans="1:7" s="14" customFormat="1" ht="15" customHeight="1" x14ac:dyDescent="0.25">
      <c r="B27" s="14" t="s">
        <v>45</v>
      </c>
      <c r="F27" s="19"/>
      <c r="G27" s="20" t="s">
        <v>61</v>
      </c>
    </row>
    <row r="28" spans="1:7" s="14" customFormat="1" ht="15" customHeight="1" x14ac:dyDescent="0.25">
      <c r="B28" s="14" t="s">
        <v>55</v>
      </c>
      <c r="F28" s="19"/>
      <c r="G28" s="20" t="s">
        <v>62</v>
      </c>
    </row>
    <row r="29" spans="1:7" s="14" customFormat="1" ht="15" customHeight="1" x14ac:dyDescent="0.25">
      <c r="A29" s="14" t="s">
        <v>63</v>
      </c>
      <c r="B29" s="14" t="s">
        <v>57</v>
      </c>
      <c r="F29" s="19"/>
      <c r="G29" s="20" t="s">
        <v>64</v>
      </c>
    </row>
    <row r="30" spans="1:7" s="14" customFormat="1" ht="15" customHeight="1" x14ac:dyDescent="0.25">
      <c r="F30" s="19"/>
    </row>
    <row r="31" spans="1:7" s="14" customFormat="1" ht="15" customHeight="1" x14ac:dyDescent="0.3">
      <c r="A31" s="16" t="s">
        <v>65</v>
      </c>
      <c r="F31" s="19"/>
    </row>
    <row r="32" spans="1:7" s="14" customFormat="1" ht="15" customHeight="1" x14ac:dyDescent="0.25">
      <c r="B32" s="14" t="s">
        <v>66</v>
      </c>
      <c r="F32" s="19"/>
      <c r="G32" s="20" t="s">
        <v>67</v>
      </c>
    </row>
    <row r="33" spans="1:7" s="14" customFormat="1" ht="15" customHeight="1" x14ac:dyDescent="0.25">
      <c r="B33" s="14" t="s">
        <v>55</v>
      </c>
      <c r="F33" s="19"/>
      <c r="G33" s="20" t="s">
        <v>68</v>
      </c>
    </row>
    <row r="34" spans="1:7" s="14" customFormat="1" ht="15" customHeight="1" x14ac:dyDescent="0.25">
      <c r="B34" s="14" t="s">
        <v>57</v>
      </c>
      <c r="F34" s="19"/>
      <c r="G34" s="20" t="s">
        <v>69</v>
      </c>
    </row>
    <row r="35" spans="1:7" s="14" customFormat="1" ht="15" customHeight="1" x14ac:dyDescent="0.25">
      <c r="F35" s="19"/>
    </row>
    <row r="36" spans="1:7" s="14" customFormat="1" ht="15" customHeight="1" x14ac:dyDescent="0.3">
      <c r="A36" s="16" t="s">
        <v>70</v>
      </c>
      <c r="F36" s="19"/>
    </row>
    <row r="37" spans="1:7" s="14" customFormat="1" ht="15" customHeight="1" x14ac:dyDescent="0.25">
      <c r="B37" s="14" t="s">
        <v>55</v>
      </c>
      <c r="F37" s="19"/>
      <c r="G37" s="20" t="s">
        <v>71</v>
      </c>
    </row>
    <row r="38" spans="1:7" s="14" customFormat="1" ht="15" customHeight="1" x14ac:dyDescent="0.25">
      <c r="B38" s="14" t="s">
        <v>57</v>
      </c>
      <c r="F38" s="19"/>
      <c r="G38" s="20" t="s">
        <v>72</v>
      </c>
    </row>
    <row r="39" spans="1:7" s="14" customFormat="1" ht="15" customHeight="1" x14ac:dyDescent="0.25">
      <c r="F39" s="19"/>
    </row>
    <row r="40" spans="1:7" s="14" customFormat="1" ht="15" customHeight="1" x14ac:dyDescent="0.3">
      <c r="A40" s="16" t="s">
        <v>73</v>
      </c>
      <c r="F40" s="19"/>
    </row>
    <row r="41" spans="1:7" s="14" customFormat="1" ht="32.25" customHeight="1" x14ac:dyDescent="0.25">
      <c r="B41" s="437" t="s">
        <v>74</v>
      </c>
      <c r="C41" s="437"/>
      <c r="D41" s="437"/>
      <c r="E41" s="437"/>
      <c r="F41" s="437"/>
      <c r="G41" s="20" t="s">
        <v>75</v>
      </c>
    </row>
    <row r="42" spans="1:7" s="14" customFormat="1" ht="15" customHeight="1" x14ac:dyDescent="0.25">
      <c r="F42" s="19"/>
    </row>
    <row r="43" spans="1:7" s="14" customFormat="1" ht="15" customHeight="1" x14ac:dyDescent="0.3">
      <c r="A43" s="16" t="s">
        <v>76</v>
      </c>
      <c r="F43" s="19"/>
      <c r="G43" s="20"/>
    </row>
    <row r="44" spans="1:7" s="14" customFormat="1" ht="12.5" x14ac:dyDescent="0.25">
      <c r="A44" s="18"/>
      <c r="B44" s="18"/>
      <c r="C44" s="18"/>
      <c r="D44" s="18"/>
      <c r="E44" s="18"/>
      <c r="F44" s="18"/>
    </row>
    <row r="45" spans="1:7" s="14" customFormat="1" ht="12.5" x14ac:dyDescent="0.25">
      <c r="B45" s="18" t="s">
        <v>77</v>
      </c>
      <c r="C45" s="18"/>
      <c r="D45" s="18"/>
      <c r="E45" s="18"/>
      <c r="F45" s="21"/>
      <c r="G45" s="19" t="s">
        <v>78</v>
      </c>
    </row>
    <row r="46" spans="1:7" s="14" customFormat="1" ht="12.5" x14ac:dyDescent="0.25">
      <c r="B46" s="18" t="s">
        <v>79</v>
      </c>
      <c r="C46" s="18"/>
      <c r="D46" s="18"/>
      <c r="E46" s="18"/>
      <c r="F46" s="21"/>
      <c r="G46" s="19" t="s">
        <v>80</v>
      </c>
    </row>
    <row r="47" spans="1:7" s="14" customFormat="1" ht="12.5" x14ac:dyDescent="0.25">
      <c r="B47" s="18" t="s">
        <v>81</v>
      </c>
      <c r="C47" s="18"/>
      <c r="D47" s="18"/>
      <c r="E47" s="18"/>
      <c r="F47" s="21"/>
      <c r="G47" s="19" t="s">
        <v>82</v>
      </c>
    </row>
    <row r="48" spans="1:7" s="14" customFormat="1" ht="12.5" x14ac:dyDescent="0.25">
      <c r="B48" s="18" t="s">
        <v>83</v>
      </c>
      <c r="C48" s="18"/>
      <c r="D48" s="18"/>
      <c r="E48" s="18"/>
      <c r="F48" s="21"/>
      <c r="G48" s="19" t="s">
        <v>84</v>
      </c>
    </row>
    <row r="49" spans="1:7" s="14" customFormat="1" ht="12.5" x14ac:dyDescent="0.25">
      <c r="B49" s="18"/>
      <c r="C49" s="18"/>
      <c r="D49" s="18"/>
      <c r="E49" s="18"/>
      <c r="F49" s="18"/>
      <c r="G49" s="20"/>
    </row>
    <row r="50" spans="1:7" s="14" customFormat="1" ht="13" x14ac:dyDescent="0.3">
      <c r="B50" s="18"/>
      <c r="D50" s="22"/>
      <c r="E50" s="22"/>
      <c r="F50" s="22"/>
    </row>
    <row r="51" spans="1:7" s="14" customFormat="1" ht="13" x14ac:dyDescent="0.3">
      <c r="B51" s="18"/>
      <c r="C51" s="23"/>
      <c r="D51" s="23"/>
      <c r="E51" s="23"/>
      <c r="F51" s="23"/>
    </row>
    <row r="52" spans="1:7" s="14" customFormat="1" ht="12.5" x14ac:dyDescent="0.25">
      <c r="B52" s="18"/>
      <c r="C52" s="18"/>
      <c r="D52" s="18"/>
      <c r="E52" s="18"/>
      <c r="F52" s="18"/>
    </row>
    <row r="53" spans="1:7" s="14" customFormat="1" ht="12.5" x14ac:dyDescent="0.25">
      <c r="B53" s="18"/>
      <c r="C53" s="18"/>
      <c r="D53" s="18"/>
      <c r="E53" s="18"/>
      <c r="F53" s="18"/>
    </row>
    <row r="54" spans="1:7" s="14" customFormat="1" ht="13" x14ac:dyDescent="0.3">
      <c r="B54" s="6"/>
      <c r="D54" s="24"/>
      <c r="E54" s="24"/>
      <c r="F54" s="24"/>
    </row>
    <row r="55" spans="1:7" ht="13" x14ac:dyDescent="0.3">
      <c r="A55" s="14"/>
      <c r="B55" s="25"/>
      <c r="C55" s="26"/>
      <c r="D55" s="26"/>
      <c r="E55" s="26"/>
      <c r="F55" s="26"/>
    </row>
    <row r="56" spans="1:7" ht="12.5" x14ac:dyDescent="0.25">
      <c r="A56" s="14"/>
      <c r="B56" s="27"/>
    </row>
    <row r="57" spans="1:7" ht="12.5" x14ac:dyDescent="0.25">
      <c r="A57" s="14"/>
    </row>
    <row r="58" spans="1:7" ht="12.5" x14ac:dyDescent="0.25">
      <c r="A58" s="14"/>
    </row>
    <row r="59" spans="1:7" ht="12.5" x14ac:dyDescent="0.25">
      <c r="A59" s="14"/>
      <c r="E59" s="28"/>
    </row>
    <row r="60" spans="1:7" ht="12.5" x14ac:dyDescent="0.25">
      <c r="B60" s="27"/>
    </row>
    <row r="61" spans="1:7" ht="12.5" x14ac:dyDescent="0.25">
      <c r="B61" s="29"/>
    </row>
    <row r="62" spans="1:7" ht="12.5" x14ac:dyDescent="0.25"/>
  </sheetData>
  <mergeCells count="1">
    <mergeCell ref="B41:F41"/>
  </mergeCells>
  <hyperlinks>
    <hyperlink ref="G14" location="'Tabelle 1'!A1" display="'Tabelle 1'!A1" xr:uid="{AA3E002F-7A5B-4B03-80D1-4D49C8EB6097}"/>
    <hyperlink ref="G17" location="'Diagramm'!A1" display="'Diagramm'!A1" xr:uid="{3C8426F0-FBC1-4E15-9011-626FEBE13823}"/>
    <hyperlink ref="G20" location="'Tabelle 2.1'!A1" display="'Tabelle 2.1'!A1" xr:uid="{DA4CE0AE-838F-4974-A83D-03E7FFC329C2}"/>
    <hyperlink ref="G21" location="'Tabelle 2.2'!A1" display="'Tabelle 2.2'!A1" xr:uid="{BF64D108-FA56-494C-B2F9-3D79722D12C7}"/>
    <hyperlink ref="G22" location="'Tabelle 2.3'!A1" display="'Tabelle 2.3'!A1" xr:uid="{4FA9F0FD-EB1D-4A54-AB3B-41BFB717E42C}"/>
    <hyperlink ref="G23" location="'Tabelle 2.4'!A1" display="'Tabelle 2.4'!A1" xr:uid="{C3EEA016-BD4B-4BEB-99DD-8D7337D193CE}"/>
    <hyperlink ref="G26" location="'Tabelle 3.1'!A1" display="'Tabelle 3.1'!A1" xr:uid="{E4FC47D2-CC97-430B-AF97-AC582C156EBD}"/>
    <hyperlink ref="G27" location="'Tabelle 3.2'!A1" display="'Tabelle 3.2'!A1" xr:uid="{EDD6EC6D-E71F-4013-B0E2-469E9FEAC41F}"/>
    <hyperlink ref="G28" location="'Tabelle 3.3'!A1" display="'Tabelle 3.3'!A1" xr:uid="{36589CFA-5CE8-48B3-8A79-CAA10F077CD1}"/>
    <hyperlink ref="G29" location="'Tabelle 3.4'!A1" display="'Tabelle 3.4'!A1" xr:uid="{09DD93FC-0A65-460D-B07F-D8C6AE184D4E}"/>
    <hyperlink ref="G32" location="'Tabelle 4.1'!A1" display="'Tabelle 4.1'!A1" xr:uid="{B22DB1AF-2861-4AD6-9AC4-4825F2A0E6E5}"/>
    <hyperlink ref="G33" location="'Tabelle 4.2'!A1" display="'Tabelle 4.2'!A1" xr:uid="{E04F8FA1-177C-4B1E-9F1C-1209906F0D5B}"/>
    <hyperlink ref="G34" location="'Tabelle 4.3'!A1" display="'Tabelle 4.3'!A1" xr:uid="{BC0D91C6-469A-437E-AADA-E7AEA2DF860C}"/>
    <hyperlink ref="G37" location="'Tabelle 5.1'!A1" display="'Tabelle 5.1'!A1" xr:uid="{1588FDD4-C1E9-484A-B378-6DEDA8160FBF}"/>
    <hyperlink ref="G38" location="'Tabelle 5.2'!A1" display="'Tabelle 5.2'!A1" xr:uid="{933DC8E2-9903-4C54-81E5-FC161E85098E}"/>
    <hyperlink ref="G41" location="'Tabelle 6'!A1" display="'Tabelle 6'!A1" xr:uid="{E24608F3-2F7D-47E2-8973-AC65CD192137}"/>
    <hyperlink ref="G45" location="'Hinweis - Berufsaggregate'!A1" display="Hinw Berufsagg" xr:uid="{57B39E39-3AC5-492F-9A1D-AE083CC50E63}"/>
    <hyperlink ref="G46" location="Hinweis_Befristung!A1" display="Hinw Befristung" xr:uid="{A7284122-1A90-4DAB-9AF0-30DFA3126163}"/>
    <hyperlink ref="G47" location="Hinweis_beg_been_BV!A1" display="Hinw beg_been_BV" xr:uid="{D0B6C7DB-AEC6-4424-A34A-6A3EAF0D7FAC}"/>
    <hyperlink ref="G48" location="Hinweise_SvB_GB!A1" display="Hinw SvB GB" xr:uid="{53AA69E9-81BE-4F00-90FE-B5AA364E3D77}"/>
  </hyperlinks>
  <printOptions horizontalCentered="1"/>
  <pageMargins left="0.25" right="0.25" top="0.75" bottom="0.75" header="0.3" footer="0.3"/>
  <pageSetup paperSize="9" scale="97" fitToHeight="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A7918-FC41-4239-87FC-33758859525A}">
  <sheetPr codeName="Tabelle1">
    <pageSetUpPr fitToPage="1"/>
  </sheetPr>
  <dimension ref="A1:O126"/>
  <sheetViews>
    <sheetView showGridLines="0" zoomScaleNormal="100" workbookViewId="0"/>
  </sheetViews>
  <sheetFormatPr defaultColWidth="8.81640625" defaultRowHeight="16" customHeight="1" x14ac:dyDescent="0.2"/>
  <cols>
    <col min="1" max="1" width="3.7265625" style="37" customWidth="1"/>
    <col min="2" max="2" width="18.81640625" style="37" bestFit="1" customWidth="1"/>
    <col min="3" max="3" width="6.7265625" style="61" customWidth="1"/>
    <col min="4" max="9" width="9.7265625" style="90" customWidth="1"/>
    <col min="10" max="10" width="9.7265625" style="91" customWidth="1"/>
    <col min="11" max="11" width="9.7265625" style="37" customWidth="1"/>
    <col min="12" max="16384" width="8.81640625" style="37"/>
  </cols>
  <sheetData>
    <row r="1" spans="1:15" customFormat="1" ht="36.75" customHeight="1" x14ac:dyDescent="0.25">
      <c r="A1" s="30"/>
      <c r="B1" s="31"/>
      <c r="C1" s="31"/>
      <c r="D1" s="31"/>
      <c r="E1" s="31"/>
      <c r="F1" s="31"/>
      <c r="G1" s="31"/>
      <c r="H1" s="31"/>
      <c r="I1" s="31"/>
      <c r="J1" s="32" t="s">
        <v>40</v>
      </c>
    </row>
    <row r="2" spans="1:15" customFormat="1" ht="6.25" customHeight="1" x14ac:dyDescent="0.25">
      <c r="A2" s="33"/>
      <c r="B2" s="34"/>
      <c r="C2" s="34"/>
      <c r="D2" s="34"/>
      <c r="E2" s="34"/>
      <c r="F2" s="34"/>
      <c r="G2" s="34"/>
      <c r="H2" s="34"/>
      <c r="I2" s="34"/>
      <c r="J2" s="34"/>
    </row>
    <row r="3" spans="1:15" s="35" customFormat="1" ht="25" customHeight="1" x14ac:dyDescent="0.35">
      <c r="A3" s="444" t="s">
        <v>85</v>
      </c>
      <c r="B3" s="445"/>
      <c r="C3" s="445"/>
      <c r="D3" s="445"/>
      <c r="E3" s="445"/>
      <c r="F3" s="445"/>
      <c r="G3" s="445"/>
      <c r="H3" s="445"/>
      <c r="I3" s="445"/>
      <c r="J3" s="445"/>
    </row>
    <row r="4" spans="1:15" s="35" customFormat="1" ht="12" customHeight="1" x14ac:dyDescent="0.35">
      <c r="A4" s="446" t="s">
        <v>86</v>
      </c>
      <c r="B4" s="446"/>
      <c r="C4" s="446"/>
      <c r="D4" s="446"/>
      <c r="E4" s="446"/>
      <c r="F4" s="446"/>
      <c r="G4" s="446"/>
      <c r="H4" s="446"/>
      <c r="I4" s="446"/>
      <c r="J4" s="446"/>
    </row>
    <row r="5" spans="1:15" s="35" customFormat="1" ht="12" customHeight="1" x14ac:dyDescent="0.35">
      <c r="A5" s="447" t="s">
        <v>42</v>
      </c>
      <c r="B5" s="447"/>
      <c r="C5" s="447"/>
      <c r="D5" s="447"/>
      <c r="E5" s="36"/>
      <c r="F5" s="36"/>
      <c r="G5" s="36"/>
      <c r="H5" s="36"/>
      <c r="I5" s="36"/>
      <c r="J5" s="36"/>
    </row>
    <row r="6" spans="1:15" s="35" customFormat="1" ht="11.25" customHeight="1" x14ac:dyDescent="0.35">
      <c r="A6" s="448"/>
      <c r="B6" s="449"/>
      <c r="C6" s="449"/>
      <c r="D6" s="449"/>
      <c r="E6" s="449"/>
      <c r="F6" s="449"/>
      <c r="G6" s="449"/>
      <c r="H6" s="449"/>
      <c r="I6" s="449"/>
      <c r="J6" s="449"/>
    </row>
    <row r="7" spans="1:15" customFormat="1" ht="12" customHeight="1" x14ac:dyDescent="0.25">
      <c r="A7" s="450" t="s">
        <v>87</v>
      </c>
      <c r="B7" s="451"/>
      <c r="C7" s="456" t="s">
        <v>88</v>
      </c>
      <c r="D7" s="459" t="s">
        <v>89</v>
      </c>
      <c r="E7" s="460"/>
      <c r="F7" s="460"/>
      <c r="G7" s="460"/>
      <c r="H7" s="461"/>
      <c r="I7" s="462" t="s">
        <v>90</v>
      </c>
      <c r="J7" s="463"/>
      <c r="K7" s="37"/>
      <c r="L7" s="37"/>
      <c r="M7" s="37"/>
      <c r="N7" s="37"/>
      <c r="O7" s="37"/>
    </row>
    <row r="8" spans="1:15" ht="34.5" customHeight="1" x14ac:dyDescent="0.2">
      <c r="A8" s="452"/>
      <c r="B8" s="453"/>
      <c r="C8" s="457"/>
      <c r="D8" s="438" t="s">
        <v>91</v>
      </c>
      <c r="E8" s="438" t="s">
        <v>92</v>
      </c>
      <c r="F8" s="438" t="s">
        <v>93</v>
      </c>
      <c r="G8" s="438" t="s">
        <v>94</v>
      </c>
      <c r="H8" s="438" t="s">
        <v>95</v>
      </c>
      <c r="I8" s="464"/>
      <c r="J8" s="465"/>
    </row>
    <row r="9" spans="1:15" ht="12" customHeight="1" x14ac:dyDescent="0.2">
      <c r="A9" s="452"/>
      <c r="B9" s="453"/>
      <c r="C9" s="457"/>
      <c r="D9" s="439"/>
      <c r="E9" s="439"/>
      <c r="F9" s="439"/>
      <c r="G9" s="439"/>
      <c r="H9" s="439"/>
      <c r="I9" s="38" t="s">
        <v>96</v>
      </c>
      <c r="J9" s="39" t="s">
        <v>97</v>
      </c>
    </row>
    <row r="10" spans="1:15" ht="12" customHeight="1" x14ac:dyDescent="0.2">
      <c r="A10" s="454"/>
      <c r="B10" s="455"/>
      <c r="C10" s="458"/>
      <c r="D10" s="40">
        <v>1</v>
      </c>
      <c r="E10" s="40">
        <v>2</v>
      </c>
      <c r="F10" s="40">
        <v>3</v>
      </c>
      <c r="G10" s="40">
        <v>4</v>
      </c>
      <c r="H10" s="40">
        <v>5</v>
      </c>
      <c r="I10" s="40">
        <v>6</v>
      </c>
      <c r="J10" s="40">
        <v>7</v>
      </c>
      <c r="K10" s="41"/>
    </row>
    <row r="11" spans="1:15" ht="18" customHeight="1" x14ac:dyDescent="0.25">
      <c r="A11" s="42" t="s">
        <v>51</v>
      </c>
      <c r="B11" s="43"/>
      <c r="C11" s="44"/>
      <c r="D11" s="45"/>
      <c r="E11" s="46"/>
      <c r="F11" s="46"/>
      <c r="G11" s="46"/>
      <c r="H11" s="47"/>
      <c r="I11" s="48"/>
      <c r="J11" s="49"/>
    </row>
    <row r="12" spans="1:15" ht="13.5" customHeight="1" x14ac:dyDescent="0.25">
      <c r="A12" s="50" t="s">
        <v>98</v>
      </c>
      <c r="B12" s="51"/>
      <c r="C12" s="52">
        <v>100</v>
      </c>
      <c r="D12" s="53">
        <v>87540</v>
      </c>
      <c r="E12" s="53">
        <v>87355</v>
      </c>
      <c r="F12" s="53">
        <v>88337</v>
      </c>
      <c r="G12" s="53">
        <v>89302</v>
      </c>
      <c r="H12" s="53">
        <v>88265</v>
      </c>
      <c r="I12" s="54">
        <v>-725</v>
      </c>
      <c r="J12" s="55">
        <v>-0.8213901319888971</v>
      </c>
      <c r="N12" s="56"/>
    </row>
    <row r="13" spans="1:15" ht="13.5" customHeight="1" x14ac:dyDescent="0.2">
      <c r="A13" s="57" t="s">
        <v>99</v>
      </c>
      <c r="B13" s="58" t="s">
        <v>100</v>
      </c>
      <c r="C13" s="52">
        <v>49.830934429974867</v>
      </c>
      <c r="D13" s="53">
        <v>43622</v>
      </c>
      <c r="E13" s="53">
        <v>43343</v>
      </c>
      <c r="F13" s="53">
        <v>43830</v>
      </c>
      <c r="G13" s="53">
        <v>44432</v>
      </c>
      <c r="H13" s="53">
        <v>43837</v>
      </c>
      <c r="I13" s="54">
        <v>-215</v>
      </c>
      <c r="J13" s="55">
        <v>-0.49045327006866346</v>
      </c>
    </row>
    <row r="14" spans="1:15" ht="13.5" customHeight="1" x14ac:dyDescent="0.2">
      <c r="A14" s="59"/>
      <c r="B14" s="58" t="s">
        <v>101</v>
      </c>
      <c r="C14" s="52">
        <v>50.169065570025133</v>
      </c>
      <c r="D14" s="53">
        <v>43918</v>
      </c>
      <c r="E14" s="53">
        <v>44012</v>
      </c>
      <c r="F14" s="53">
        <v>44507</v>
      </c>
      <c r="G14" s="53">
        <v>44870</v>
      </c>
      <c r="H14" s="53">
        <v>44428</v>
      </c>
      <c r="I14" s="54">
        <v>-510</v>
      </c>
      <c r="J14" s="55">
        <v>-1.1479247321508959</v>
      </c>
    </row>
    <row r="15" spans="1:15" ht="13.5" customHeight="1" x14ac:dyDescent="0.2">
      <c r="A15" s="57" t="s">
        <v>99</v>
      </c>
      <c r="B15" s="60" t="s">
        <v>102</v>
      </c>
      <c r="C15" s="52">
        <v>8.6737491432488003</v>
      </c>
      <c r="D15" s="53">
        <v>7593</v>
      </c>
      <c r="E15" s="53">
        <v>7766</v>
      </c>
      <c r="F15" s="53">
        <v>8019</v>
      </c>
      <c r="G15" s="53">
        <v>8270</v>
      </c>
      <c r="H15" s="53">
        <v>7405</v>
      </c>
      <c r="I15" s="54">
        <v>188</v>
      </c>
      <c r="J15" s="55">
        <v>2.5388251181634032</v>
      </c>
    </row>
    <row r="16" spans="1:15" ht="13.5" customHeight="1" x14ac:dyDescent="0.2">
      <c r="A16" s="57"/>
      <c r="B16" s="60" t="s">
        <v>103</v>
      </c>
      <c r="C16" s="52">
        <v>63.7240118802833</v>
      </c>
      <c r="D16" s="53">
        <v>55784</v>
      </c>
      <c r="E16" s="53">
        <v>55706</v>
      </c>
      <c r="F16" s="53">
        <v>56108</v>
      </c>
      <c r="G16" s="53">
        <v>56667</v>
      </c>
      <c r="H16" s="53">
        <v>56426</v>
      </c>
      <c r="I16" s="54">
        <v>-642</v>
      </c>
      <c r="J16" s="55">
        <v>-1.1377733668876051</v>
      </c>
    </row>
    <row r="17" spans="1:10" ht="13.5" customHeight="1" x14ac:dyDescent="0.2">
      <c r="A17" s="57"/>
      <c r="B17" s="60" t="s">
        <v>104</v>
      </c>
      <c r="C17" s="52">
        <v>25.98012337217272</v>
      </c>
      <c r="D17" s="53">
        <v>22743</v>
      </c>
      <c r="E17" s="53">
        <v>22529</v>
      </c>
      <c r="F17" s="53">
        <v>22844</v>
      </c>
      <c r="G17" s="53">
        <v>23034</v>
      </c>
      <c r="H17" s="53">
        <v>23160</v>
      </c>
      <c r="I17" s="54">
        <v>-417</v>
      </c>
      <c r="J17" s="55">
        <v>-1.8005181347150259</v>
      </c>
    </row>
    <row r="18" spans="1:10" ht="13.5" customHeight="1" x14ac:dyDescent="0.2">
      <c r="A18" s="59"/>
      <c r="B18" s="60" t="s">
        <v>105</v>
      </c>
      <c r="C18" s="52">
        <v>1.6221156042951794</v>
      </c>
      <c r="D18" s="53">
        <v>1420</v>
      </c>
      <c r="E18" s="53">
        <v>1354</v>
      </c>
      <c r="F18" s="53">
        <v>1366</v>
      </c>
      <c r="G18" s="53">
        <v>1331</v>
      </c>
      <c r="H18" s="53">
        <v>1274</v>
      </c>
      <c r="I18" s="54">
        <v>146</v>
      </c>
      <c r="J18" s="55">
        <v>11.459968602825745</v>
      </c>
    </row>
    <row r="19" spans="1:10" ht="13.5" customHeight="1" x14ac:dyDescent="0.2">
      <c r="A19" s="59"/>
      <c r="B19" s="60" t="s">
        <v>106</v>
      </c>
      <c r="C19" s="52">
        <v>0.7425177061914553</v>
      </c>
      <c r="D19" s="53">
        <v>650</v>
      </c>
      <c r="E19" s="53">
        <v>620</v>
      </c>
      <c r="F19" s="53">
        <v>579</v>
      </c>
      <c r="G19" s="53">
        <v>580</v>
      </c>
      <c r="H19" s="53">
        <v>555</v>
      </c>
      <c r="I19" s="54">
        <v>95</v>
      </c>
      <c r="J19" s="55">
        <v>17.117117117117118</v>
      </c>
    </row>
    <row r="20" spans="1:10" ht="13.5" customHeight="1" x14ac:dyDescent="0.2">
      <c r="A20" s="57" t="s">
        <v>107</v>
      </c>
      <c r="B20" s="61" t="s">
        <v>108</v>
      </c>
      <c r="C20" s="52">
        <v>61.204021018962763</v>
      </c>
      <c r="D20" s="53">
        <v>53578</v>
      </c>
      <c r="E20" s="53">
        <v>53667</v>
      </c>
      <c r="F20" s="53">
        <v>54374</v>
      </c>
      <c r="G20" s="53">
        <v>55180</v>
      </c>
      <c r="H20" s="53">
        <v>54570</v>
      </c>
      <c r="I20" s="54">
        <v>-992</v>
      </c>
      <c r="J20" s="55">
        <v>-1.8178486347810152</v>
      </c>
    </row>
    <row r="21" spans="1:10" ht="13.5" customHeight="1" x14ac:dyDescent="0.2">
      <c r="A21" s="59"/>
      <c r="B21" s="61" t="s">
        <v>109</v>
      </c>
      <c r="C21" s="52">
        <v>38.795978981037237</v>
      </c>
      <c r="D21" s="53">
        <v>33962</v>
      </c>
      <c r="E21" s="53">
        <v>33688</v>
      </c>
      <c r="F21" s="53">
        <v>33963</v>
      </c>
      <c r="G21" s="53">
        <v>34122</v>
      </c>
      <c r="H21" s="53">
        <v>33695</v>
      </c>
      <c r="I21" s="54">
        <v>267</v>
      </c>
      <c r="J21" s="55">
        <v>0.7924024335954889</v>
      </c>
    </row>
    <row r="22" spans="1:10" ht="13.5" customHeight="1" x14ac:dyDescent="0.2">
      <c r="A22" s="57" t="s">
        <v>107</v>
      </c>
      <c r="B22" s="61" t="s">
        <v>110</v>
      </c>
      <c r="C22" s="52">
        <v>86.801462188713728</v>
      </c>
      <c r="D22" s="53">
        <v>75986</v>
      </c>
      <c r="E22" s="53">
        <v>76125</v>
      </c>
      <c r="F22" s="53">
        <v>77226</v>
      </c>
      <c r="G22" s="53">
        <v>77999</v>
      </c>
      <c r="H22" s="53">
        <v>77271</v>
      </c>
      <c r="I22" s="54">
        <v>-1285</v>
      </c>
      <c r="J22" s="55">
        <v>-1.6629783489277996</v>
      </c>
    </row>
    <row r="23" spans="1:10" ht="13.5" customHeight="1" x14ac:dyDescent="0.2">
      <c r="A23" s="62"/>
      <c r="B23" s="63" t="s">
        <v>111</v>
      </c>
      <c r="C23" s="64">
        <v>13.198537811286268</v>
      </c>
      <c r="D23" s="53">
        <v>11554</v>
      </c>
      <c r="E23" s="53">
        <v>11230</v>
      </c>
      <c r="F23" s="53">
        <v>11111</v>
      </c>
      <c r="G23" s="53">
        <v>11303</v>
      </c>
      <c r="H23" s="53">
        <v>10994</v>
      </c>
      <c r="I23" s="54">
        <v>560</v>
      </c>
      <c r="J23" s="55">
        <v>5.0936874658904854</v>
      </c>
    </row>
    <row r="24" spans="1:10" ht="18" customHeight="1" x14ac:dyDescent="0.25">
      <c r="A24" s="65" t="s">
        <v>112</v>
      </c>
      <c r="B24" s="43"/>
      <c r="C24" s="66"/>
      <c r="D24" s="67"/>
      <c r="E24" s="68"/>
      <c r="F24" s="68"/>
      <c r="G24" s="68"/>
      <c r="H24" s="69"/>
      <c r="I24" s="70"/>
      <c r="J24" s="71"/>
    </row>
    <row r="25" spans="1:10" ht="15.75" customHeight="1" x14ac:dyDescent="0.25">
      <c r="A25" s="50" t="s">
        <v>113</v>
      </c>
      <c r="B25" s="51"/>
      <c r="C25" s="72"/>
      <c r="D25" s="73"/>
      <c r="E25" s="74"/>
      <c r="F25" s="74"/>
      <c r="G25" s="74"/>
      <c r="H25" s="75"/>
      <c r="I25" s="76"/>
      <c r="J25" s="77"/>
    </row>
    <row r="26" spans="1:10" ht="13.5" customHeight="1" x14ac:dyDescent="0.25">
      <c r="A26" s="50" t="s">
        <v>98</v>
      </c>
      <c r="B26" s="51"/>
      <c r="C26" s="52">
        <v>100</v>
      </c>
      <c r="D26" s="78">
        <v>11635</v>
      </c>
      <c r="E26" s="53">
        <v>11201</v>
      </c>
      <c r="F26" s="53">
        <v>11370</v>
      </c>
      <c r="G26" s="53">
        <v>11401</v>
      </c>
      <c r="H26" s="79">
        <v>11352</v>
      </c>
      <c r="I26" s="54">
        <v>283</v>
      </c>
      <c r="J26" s="55">
        <v>2.4929527836504581</v>
      </c>
    </row>
    <row r="27" spans="1:10" ht="13.5" customHeight="1" x14ac:dyDescent="0.2">
      <c r="A27" s="57" t="s">
        <v>99</v>
      </c>
      <c r="B27" s="58" t="s">
        <v>100</v>
      </c>
      <c r="C27" s="52">
        <v>43.824666953158577</v>
      </c>
      <c r="D27" s="54">
        <v>5099</v>
      </c>
      <c r="E27" s="53">
        <v>4899</v>
      </c>
      <c r="F27" s="53">
        <v>4922</v>
      </c>
      <c r="G27" s="53">
        <v>4931</v>
      </c>
      <c r="H27" s="79">
        <v>4926</v>
      </c>
      <c r="I27" s="54">
        <v>173</v>
      </c>
      <c r="J27" s="55">
        <v>3.511977263499797</v>
      </c>
    </row>
    <row r="28" spans="1:10" ht="13.5" customHeight="1" x14ac:dyDescent="0.2">
      <c r="A28" s="59"/>
      <c r="B28" s="58" t="s">
        <v>101</v>
      </c>
      <c r="C28" s="52">
        <v>56.175333046841423</v>
      </c>
      <c r="D28" s="54">
        <v>6536</v>
      </c>
      <c r="E28" s="53">
        <v>6302</v>
      </c>
      <c r="F28" s="53">
        <v>6448</v>
      </c>
      <c r="G28" s="53">
        <v>6470</v>
      </c>
      <c r="H28" s="79">
        <v>6426</v>
      </c>
      <c r="I28" s="54">
        <v>110</v>
      </c>
      <c r="J28" s="55">
        <v>1.7117958294428883</v>
      </c>
    </row>
    <row r="29" spans="1:10" ht="13.5" customHeight="1" x14ac:dyDescent="0.2">
      <c r="A29" s="57" t="s">
        <v>99</v>
      </c>
      <c r="B29" s="60" t="s">
        <v>102</v>
      </c>
      <c r="C29" s="52">
        <v>14.937688010313709</v>
      </c>
      <c r="D29" s="54">
        <v>1738</v>
      </c>
      <c r="E29" s="53">
        <v>1471</v>
      </c>
      <c r="F29" s="53">
        <v>1483</v>
      </c>
      <c r="G29" s="53">
        <v>1532</v>
      </c>
      <c r="H29" s="79">
        <v>1608</v>
      </c>
      <c r="I29" s="54">
        <v>130</v>
      </c>
      <c r="J29" s="55">
        <v>8.0845771144278604</v>
      </c>
    </row>
    <row r="30" spans="1:10" ht="13.5" customHeight="1" x14ac:dyDescent="0.2">
      <c r="A30" s="57"/>
      <c r="B30" s="60" t="s">
        <v>103</v>
      </c>
      <c r="C30" s="52">
        <v>36.106574989256551</v>
      </c>
      <c r="D30" s="54">
        <v>4201</v>
      </c>
      <c r="E30" s="53">
        <v>4139</v>
      </c>
      <c r="F30" s="53">
        <v>4214</v>
      </c>
      <c r="G30" s="53">
        <v>4175</v>
      </c>
      <c r="H30" s="79">
        <v>4107</v>
      </c>
      <c r="I30" s="54">
        <v>94</v>
      </c>
      <c r="J30" s="55">
        <v>2.2887752617482349</v>
      </c>
    </row>
    <row r="31" spans="1:10" ht="13.5" customHeight="1" x14ac:dyDescent="0.2">
      <c r="A31" s="57"/>
      <c r="B31" s="60" t="s">
        <v>104</v>
      </c>
      <c r="C31" s="52">
        <v>20.232058444348947</v>
      </c>
      <c r="D31" s="54">
        <v>2354</v>
      </c>
      <c r="E31" s="53">
        <v>2364</v>
      </c>
      <c r="F31" s="53">
        <v>2391</v>
      </c>
      <c r="G31" s="53">
        <v>2418</v>
      </c>
      <c r="H31" s="79">
        <v>2437</v>
      </c>
      <c r="I31" s="54">
        <v>-83</v>
      </c>
      <c r="J31" s="55">
        <v>-3.4058268362741075</v>
      </c>
    </row>
    <row r="32" spans="1:10" ht="13.5" customHeight="1" x14ac:dyDescent="0.2">
      <c r="A32" s="59"/>
      <c r="B32" s="60" t="s">
        <v>105</v>
      </c>
      <c r="C32" s="52">
        <v>28.723678556080792</v>
      </c>
      <c r="D32" s="54">
        <v>3342</v>
      </c>
      <c r="E32" s="53">
        <v>3227</v>
      </c>
      <c r="F32" s="53">
        <v>3282</v>
      </c>
      <c r="G32" s="53">
        <v>3276</v>
      </c>
      <c r="H32" s="79">
        <v>3200</v>
      </c>
      <c r="I32" s="54">
        <v>142</v>
      </c>
      <c r="J32" s="55">
        <v>4.4375</v>
      </c>
    </row>
    <row r="33" spans="1:10" ht="13.5" customHeight="1" x14ac:dyDescent="0.2">
      <c r="A33" s="59"/>
      <c r="B33" s="60" t="s">
        <v>106</v>
      </c>
      <c r="C33" s="52">
        <v>4.9505801461108723</v>
      </c>
      <c r="D33" s="54">
        <v>576</v>
      </c>
      <c r="E33" s="53">
        <v>540</v>
      </c>
      <c r="F33" s="53">
        <v>500</v>
      </c>
      <c r="G33" s="53">
        <v>481</v>
      </c>
      <c r="H33" s="79">
        <v>464</v>
      </c>
      <c r="I33" s="54">
        <v>112</v>
      </c>
      <c r="J33" s="55">
        <v>24.137931034482758</v>
      </c>
    </row>
    <row r="34" spans="1:10" ht="13.5" customHeight="1" x14ac:dyDescent="0.2">
      <c r="A34" s="57" t="s">
        <v>107</v>
      </c>
      <c r="B34" s="61" t="s">
        <v>110</v>
      </c>
      <c r="C34" s="52">
        <v>90.588740868070474</v>
      </c>
      <c r="D34" s="54">
        <v>10540</v>
      </c>
      <c r="E34" s="53">
        <v>10189</v>
      </c>
      <c r="F34" s="53">
        <v>10354</v>
      </c>
      <c r="G34" s="53">
        <v>10345</v>
      </c>
      <c r="H34" s="79">
        <v>10328</v>
      </c>
      <c r="I34" s="54">
        <v>212</v>
      </c>
      <c r="J34" s="55">
        <v>2.0526723470178156</v>
      </c>
    </row>
    <row r="35" spans="1:10" ht="13.5" customHeight="1" x14ac:dyDescent="0.2">
      <c r="A35" s="57"/>
      <c r="B35" s="58" t="s">
        <v>111</v>
      </c>
      <c r="C35" s="52">
        <v>9.4112591319295227</v>
      </c>
      <c r="D35" s="54">
        <v>1095</v>
      </c>
      <c r="E35" s="53">
        <v>1012</v>
      </c>
      <c r="F35" s="53">
        <v>1016</v>
      </c>
      <c r="G35" s="53">
        <v>1056</v>
      </c>
      <c r="H35" s="79">
        <v>1024</v>
      </c>
      <c r="I35" s="54">
        <v>71</v>
      </c>
      <c r="J35" s="55">
        <v>6.93359375</v>
      </c>
    </row>
    <row r="36" spans="1:10" ht="18" customHeight="1" x14ac:dyDescent="0.25">
      <c r="A36" s="50" t="s">
        <v>114</v>
      </c>
      <c r="B36" s="51"/>
      <c r="C36" s="80"/>
      <c r="D36" s="73"/>
      <c r="E36" s="74"/>
      <c r="F36" s="74"/>
      <c r="G36" s="74"/>
      <c r="H36" s="75"/>
      <c r="I36" s="76"/>
      <c r="J36" s="77"/>
    </row>
    <row r="37" spans="1:10" ht="13.5" customHeight="1" x14ac:dyDescent="0.25">
      <c r="A37" s="50" t="s">
        <v>98</v>
      </c>
      <c r="B37" s="51"/>
      <c r="C37" s="52">
        <v>100</v>
      </c>
      <c r="D37" s="78">
        <v>7885</v>
      </c>
      <c r="E37" s="53">
        <v>7546</v>
      </c>
      <c r="F37" s="53">
        <v>7625</v>
      </c>
      <c r="G37" s="53">
        <v>7668</v>
      </c>
      <c r="H37" s="79">
        <v>7760</v>
      </c>
      <c r="I37" s="54">
        <v>125</v>
      </c>
      <c r="J37" s="55">
        <v>1.6108247422680413</v>
      </c>
    </row>
    <row r="38" spans="1:10" ht="13.5" customHeight="1" x14ac:dyDescent="0.2">
      <c r="A38" s="57" t="s">
        <v>99</v>
      </c>
      <c r="B38" s="58" t="s">
        <v>100</v>
      </c>
      <c r="C38" s="52">
        <v>45.732403297400126</v>
      </c>
      <c r="D38" s="54">
        <v>3606</v>
      </c>
      <c r="E38" s="53">
        <v>3457</v>
      </c>
      <c r="F38" s="53">
        <v>3445</v>
      </c>
      <c r="G38" s="53">
        <v>3454</v>
      </c>
      <c r="H38" s="79">
        <v>3508</v>
      </c>
      <c r="I38" s="54">
        <v>98</v>
      </c>
      <c r="J38" s="55">
        <v>2.7936145952109466</v>
      </c>
    </row>
    <row r="39" spans="1:10" ht="13.5" customHeight="1" x14ac:dyDescent="0.2">
      <c r="A39" s="59"/>
      <c r="B39" s="58" t="s">
        <v>101</v>
      </c>
      <c r="C39" s="52">
        <v>54.267596702599874</v>
      </c>
      <c r="D39" s="54">
        <v>4279</v>
      </c>
      <c r="E39" s="53">
        <v>4089</v>
      </c>
      <c r="F39" s="53">
        <v>4180</v>
      </c>
      <c r="G39" s="53">
        <v>4214</v>
      </c>
      <c r="H39" s="79">
        <v>4252</v>
      </c>
      <c r="I39" s="54">
        <v>27</v>
      </c>
      <c r="J39" s="55">
        <v>0.63499529633113827</v>
      </c>
    </row>
    <row r="40" spans="1:10" ht="13.5" customHeight="1" x14ac:dyDescent="0.2">
      <c r="A40" s="57" t="s">
        <v>99</v>
      </c>
      <c r="B40" s="60" t="s">
        <v>102</v>
      </c>
      <c r="C40" s="52">
        <v>17.577679137603045</v>
      </c>
      <c r="D40" s="54">
        <v>1386</v>
      </c>
      <c r="E40" s="53">
        <v>1133</v>
      </c>
      <c r="F40" s="53">
        <v>1123</v>
      </c>
      <c r="G40" s="53">
        <v>1140</v>
      </c>
      <c r="H40" s="79">
        <v>1266</v>
      </c>
      <c r="I40" s="54">
        <v>120</v>
      </c>
      <c r="J40" s="55">
        <v>9.4786729857819907</v>
      </c>
    </row>
    <row r="41" spans="1:10" ht="13.5" customHeight="1" x14ac:dyDescent="0.2">
      <c r="A41" s="57"/>
      <c r="B41" s="60" t="s">
        <v>103</v>
      </c>
      <c r="C41" s="52">
        <v>21.382371591629678</v>
      </c>
      <c r="D41" s="54">
        <v>1686</v>
      </c>
      <c r="E41" s="53">
        <v>1678</v>
      </c>
      <c r="F41" s="53">
        <v>1704</v>
      </c>
      <c r="G41" s="53">
        <v>1715</v>
      </c>
      <c r="H41" s="79">
        <v>1738</v>
      </c>
      <c r="I41" s="54">
        <v>-52</v>
      </c>
      <c r="J41" s="55">
        <v>-2.991944764096663</v>
      </c>
    </row>
    <row r="42" spans="1:10" ht="13.5" customHeight="1" x14ac:dyDescent="0.2">
      <c r="A42" s="57"/>
      <c r="B42" s="60" t="s">
        <v>104</v>
      </c>
      <c r="C42" s="52">
        <v>19.695624603677871</v>
      </c>
      <c r="D42" s="54">
        <v>1553</v>
      </c>
      <c r="E42" s="53">
        <v>1586</v>
      </c>
      <c r="F42" s="53">
        <v>1593</v>
      </c>
      <c r="G42" s="53">
        <v>1606</v>
      </c>
      <c r="H42" s="79">
        <v>1626</v>
      </c>
      <c r="I42" s="54">
        <v>-73</v>
      </c>
      <c r="J42" s="55">
        <v>-4.4895448954489545</v>
      </c>
    </row>
    <row r="43" spans="1:10" ht="13.5" customHeight="1" x14ac:dyDescent="0.2">
      <c r="A43" s="59"/>
      <c r="B43" s="60" t="s">
        <v>105</v>
      </c>
      <c r="C43" s="52">
        <v>41.34432466708941</v>
      </c>
      <c r="D43" s="54">
        <v>3260</v>
      </c>
      <c r="E43" s="53">
        <v>3149</v>
      </c>
      <c r="F43" s="53">
        <v>3205</v>
      </c>
      <c r="G43" s="53">
        <v>3207</v>
      </c>
      <c r="H43" s="79">
        <v>3130</v>
      </c>
      <c r="I43" s="54">
        <v>130</v>
      </c>
      <c r="J43" s="55">
        <v>4.1533546325878596</v>
      </c>
    </row>
    <row r="44" spans="1:10" ht="13.5" customHeight="1" x14ac:dyDescent="0.2">
      <c r="A44" s="59"/>
      <c r="B44" s="60" t="s">
        <v>106</v>
      </c>
      <c r="C44" s="52">
        <v>6.9245402663284716</v>
      </c>
      <c r="D44" s="54">
        <v>546</v>
      </c>
      <c r="E44" s="53">
        <v>515</v>
      </c>
      <c r="F44" s="53">
        <v>477</v>
      </c>
      <c r="G44" s="53">
        <v>464</v>
      </c>
      <c r="H44" s="79">
        <v>442</v>
      </c>
      <c r="I44" s="54">
        <v>104</v>
      </c>
      <c r="J44" s="55">
        <v>23.529411764705884</v>
      </c>
    </row>
    <row r="45" spans="1:10" ht="13.5" customHeight="1" x14ac:dyDescent="0.2">
      <c r="A45" s="57" t="s">
        <v>107</v>
      </c>
      <c r="B45" s="61" t="s">
        <v>110</v>
      </c>
      <c r="C45" s="52">
        <v>89.980976537729873</v>
      </c>
      <c r="D45" s="54">
        <v>7095</v>
      </c>
      <c r="E45" s="53">
        <v>6816</v>
      </c>
      <c r="F45" s="53">
        <v>6897</v>
      </c>
      <c r="G45" s="53">
        <v>6910</v>
      </c>
      <c r="H45" s="79">
        <v>7013</v>
      </c>
      <c r="I45" s="54">
        <v>82</v>
      </c>
      <c r="J45" s="55">
        <v>1.1692570939683444</v>
      </c>
    </row>
    <row r="46" spans="1:10" ht="13.5" customHeight="1" x14ac:dyDescent="0.2">
      <c r="A46" s="57"/>
      <c r="B46" s="58" t="s">
        <v>111</v>
      </c>
      <c r="C46" s="52">
        <v>10.019023462270134</v>
      </c>
      <c r="D46" s="54">
        <v>790</v>
      </c>
      <c r="E46" s="53">
        <v>730</v>
      </c>
      <c r="F46" s="53">
        <v>728</v>
      </c>
      <c r="G46" s="53">
        <v>758</v>
      </c>
      <c r="H46" s="79">
        <v>747</v>
      </c>
      <c r="I46" s="54">
        <v>43</v>
      </c>
      <c r="J46" s="55">
        <v>5.7563587684069608</v>
      </c>
    </row>
    <row r="47" spans="1:10" ht="18" customHeight="1" x14ac:dyDescent="0.25">
      <c r="A47" s="50" t="s">
        <v>115</v>
      </c>
      <c r="B47" s="51"/>
      <c r="C47" s="80"/>
      <c r="D47" s="73"/>
      <c r="E47" s="74"/>
      <c r="F47" s="74"/>
      <c r="G47" s="74"/>
      <c r="H47" s="75"/>
      <c r="I47" s="76"/>
      <c r="J47" s="77"/>
    </row>
    <row r="48" spans="1:10" ht="13.5" customHeight="1" x14ac:dyDescent="0.25">
      <c r="A48" s="50" t="s">
        <v>98</v>
      </c>
      <c r="B48" s="51"/>
      <c r="C48" s="52">
        <v>100</v>
      </c>
      <c r="D48" s="78">
        <v>3750</v>
      </c>
      <c r="E48" s="53">
        <v>3655</v>
      </c>
      <c r="F48" s="53">
        <v>3745</v>
      </c>
      <c r="G48" s="53">
        <v>3733</v>
      </c>
      <c r="H48" s="79">
        <v>3592</v>
      </c>
      <c r="I48" s="54">
        <v>158</v>
      </c>
      <c r="J48" s="55">
        <v>4.3986636971046771</v>
      </c>
    </row>
    <row r="49" spans="1:12" ht="13.5" customHeight="1" x14ac:dyDescent="0.2">
      <c r="A49" s="57" t="s">
        <v>99</v>
      </c>
      <c r="B49" s="58" t="s">
        <v>100</v>
      </c>
      <c r="C49" s="52">
        <v>39.813333333333333</v>
      </c>
      <c r="D49" s="54">
        <v>1493</v>
      </c>
      <c r="E49" s="53">
        <v>1442</v>
      </c>
      <c r="F49" s="53">
        <v>1477</v>
      </c>
      <c r="G49" s="53">
        <v>1477</v>
      </c>
      <c r="H49" s="79">
        <v>1418</v>
      </c>
      <c r="I49" s="54">
        <v>75</v>
      </c>
      <c r="J49" s="55">
        <v>5.289139633286319</v>
      </c>
    </row>
    <row r="50" spans="1:12" ht="13.5" customHeight="1" x14ac:dyDescent="0.2">
      <c r="A50" s="59"/>
      <c r="B50" s="58" t="s">
        <v>101</v>
      </c>
      <c r="C50" s="52">
        <v>60.186666666666667</v>
      </c>
      <c r="D50" s="54">
        <v>2257</v>
      </c>
      <c r="E50" s="53">
        <v>2213</v>
      </c>
      <c r="F50" s="53">
        <v>2268</v>
      </c>
      <c r="G50" s="53">
        <v>2256</v>
      </c>
      <c r="H50" s="79">
        <v>2174</v>
      </c>
      <c r="I50" s="54">
        <v>83</v>
      </c>
      <c r="J50" s="55">
        <v>3.8178472861085555</v>
      </c>
    </row>
    <row r="51" spans="1:12" ht="13.5" customHeight="1" x14ac:dyDescent="0.2">
      <c r="A51" s="57" t="s">
        <v>99</v>
      </c>
      <c r="B51" s="60" t="s">
        <v>102</v>
      </c>
      <c r="C51" s="52">
        <v>9.3866666666666667</v>
      </c>
      <c r="D51" s="54">
        <v>352</v>
      </c>
      <c r="E51" s="53">
        <v>338</v>
      </c>
      <c r="F51" s="53">
        <v>360</v>
      </c>
      <c r="G51" s="53">
        <v>392</v>
      </c>
      <c r="H51" s="79">
        <v>342</v>
      </c>
      <c r="I51" s="54">
        <v>10</v>
      </c>
      <c r="J51" s="55">
        <v>2.9239766081871346</v>
      </c>
    </row>
    <row r="52" spans="1:12" ht="13.5" customHeight="1" x14ac:dyDescent="0.2">
      <c r="A52" s="57"/>
      <c r="B52" s="60" t="s">
        <v>103</v>
      </c>
      <c r="C52" s="52">
        <v>67.066666666666663</v>
      </c>
      <c r="D52" s="54">
        <v>2515</v>
      </c>
      <c r="E52" s="53">
        <v>2461</v>
      </c>
      <c r="F52" s="53">
        <v>2510</v>
      </c>
      <c r="G52" s="53">
        <v>2460</v>
      </c>
      <c r="H52" s="79">
        <v>2369</v>
      </c>
      <c r="I52" s="54">
        <v>146</v>
      </c>
      <c r="J52" s="55">
        <v>6.1629379485014777</v>
      </c>
    </row>
    <row r="53" spans="1:12" ht="13.5" customHeight="1" x14ac:dyDescent="0.2">
      <c r="A53" s="57"/>
      <c r="B53" s="60" t="s">
        <v>104</v>
      </c>
      <c r="C53" s="52">
        <v>21.36</v>
      </c>
      <c r="D53" s="54">
        <v>801</v>
      </c>
      <c r="E53" s="53">
        <v>778</v>
      </c>
      <c r="F53" s="53">
        <v>798</v>
      </c>
      <c r="G53" s="53">
        <v>812</v>
      </c>
      <c r="H53" s="79">
        <v>811</v>
      </c>
      <c r="I53" s="54">
        <v>-10</v>
      </c>
      <c r="J53" s="55">
        <v>-1.2330456226880395</v>
      </c>
    </row>
    <row r="54" spans="1:12" ht="13.5" customHeight="1" x14ac:dyDescent="0.2">
      <c r="A54" s="59"/>
      <c r="B54" s="60" t="s">
        <v>105</v>
      </c>
      <c r="C54" s="52">
        <v>2.1866666666666665</v>
      </c>
      <c r="D54" s="54">
        <v>82</v>
      </c>
      <c r="E54" s="53">
        <v>78</v>
      </c>
      <c r="F54" s="53">
        <v>77</v>
      </c>
      <c r="G54" s="53">
        <v>69</v>
      </c>
      <c r="H54" s="79">
        <v>70</v>
      </c>
      <c r="I54" s="54">
        <v>12</v>
      </c>
      <c r="J54" s="55">
        <v>17.142857142857142</v>
      </c>
    </row>
    <row r="55" spans="1:12" ht="13.5" customHeight="1" x14ac:dyDescent="0.2">
      <c r="A55" s="59"/>
      <c r="B55" s="60" t="s">
        <v>106</v>
      </c>
      <c r="C55" s="52">
        <v>0.8</v>
      </c>
      <c r="D55" s="54">
        <v>30</v>
      </c>
      <c r="E55" s="53">
        <v>25</v>
      </c>
      <c r="F55" s="53">
        <v>23</v>
      </c>
      <c r="G55" s="53">
        <v>17</v>
      </c>
      <c r="H55" s="79">
        <v>22</v>
      </c>
      <c r="I55" s="54">
        <v>8</v>
      </c>
      <c r="J55" s="55">
        <v>36.363636363636367</v>
      </c>
    </row>
    <row r="56" spans="1:12" ht="13.5" customHeight="1" x14ac:dyDescent="0.2">
      <c r="A56" s="57" t="s">
        <v>107</v>
      </c>
      <c r="B56" s="61" t="s">
        <v>110</v>
      </c>
      <c r="C56" s="52">
        <v>91.86666666666666</v>
      </c>
      <c r="D56" s="54">
        <v>3445</v>
      </c>
      <c r="E56" s="53">
        <v>3373</v>
      </c>
      <c r="F56" s="53">
        <v>3457</v>
      </c>
      <c r="G56" s="53">
        <v>3435</v>
      </c>
      <c r="H56" s="79">
        <v>3315</v>
      </c>
      <c r="I56" s="54">
        <v>130</v>
      </c>
      <c r="J56" s="55">
        <v>3.9215686274509802</v>
      </c>
    </row>
    <row r="57" spans="1:12" ht="13.5" customHeight="1" x14ac:dyDescent="0.2">
      <c r="A57" s="81"/>
      <c r="B57" s="63" t="s">
        <v>111</v>
      </c>
      <c r="C57" s="64">
        <v>8.1333333333333329</v>
      </c>
      <c r="D57" s="82">
        <v>305</v>
      </c>
      <c r="E57" s="83">
        <v>282</v>
      </c>
      <c r="F57" s="83">
        <v>288</v>
      </c>
      <c r="G57" s="83">
        <v>298</v>
      </c>
      <c r="H57" s="84">
        <v>277</v>
      </c>
      <c r="I57" s="82">
        <v>28</v>
      </c>
      <c r="J57" s="85">
        <v>10.108303249097473</v>
      </c>
    </row>
    <row r="58" spans="1:12" s="86" customFormat="1" ht="11.25" customHeight="1" x14ac:dyDescent="0.2">
      <c r="B58" s="87"/>
      <c r="C58" s="87"/>
      <c r="D58" s="87"/>
      <c r="E58" s="87"/>
      <c r="F58" s="87"/>
      <c r="G58" s="87"/>
      <c r="H58" s="87"/>
      <c r="I58" s="87"/>
      <c r="J58" s="88" t="s">
        <v>37</v>
      </c>
      <c r="K58" s="87"/>
      <c r="L58" s="87"/>
    </row>
    <row r="59" spans="1:12" s="86" customFormat="1" ht="12.75" customHeight="1" x14ac:dyDescent="0.2">
      <c r="A59" s="87" t="s">
        <v>116</v>
      </c>
      <c r="D59" s="89"/>
      <c r="K59" s="87"/>
      <c r="L59" s="87"/>
    </row>
    <row r="60" spans="1:12" s="86" customFormat="1" ht="21" customHeight="1" x14ac:dyDescent="0.2">
      <c r="A60" s="440" t="s">
        <v>117</v>
      </c>
      <c r="B60" s="441"/>
      <c r="C60" s="441"/>
      <c r="D60" s="441"/>
      <c r="E60" s="441"/>
      <c r="F60" s="441"/>
      <c r="G60" s="441"/>
      <c r="H60" s="441"/>
      <c r="I60" s="441"/>
      <c r="J60" s="441"/>
      <c r="K60" s="87"/>
      <c r="L60" s="87"/>
    </row>
    <row r="61" spans="1:12" s="60" customFormat="1" ht="12.75" customHeight="1" x14ac:dyDescent="0.2">
      <c r="A61" s="440"/>
      <c r="B61" s="441"/>
      <c r="C61" s="441"/>
      <c r="D61" s="441"/>
      <c r="E61" s="441"/>
      <c r="F61" s="441"/>
      <c r="G61" s="441"/>
      <c r="H61" s="441"/>
      <c r="I61" s="441"/>
      <c r="J61" s="441"/>
      <c r="K61" s="87"/>
      <c r="L61" s="87"/>
    </row>
    <row r="62" spans="1:12" s="60" customFormat="1" ht="12.75" customHeight="1" x14ac:dyDescent="0.2"/>
    <row r="63" spans="1:12" ht="16" customHeight="1" x14ac:dyDescent="0.2">
      <c r="B63" s="442"/>
      <c r="C63" s="443"/>
      <c r="D63" s="443"/>
      <c r="E63" s="443"/>
      <c r="F63" s="443"/>
      <c r="G63" s="443"/>
      <c r="H63" s="443"/>
      <c r="I63" s="443"/>
      <c r="J63" s="443"/>
      <c r="K63" s="443"/>
    </row>
    <row r="64" spans="1:12" ht="16" customHeight="1" x14ac:dyDescent="0.2">
      <c r="C64" s="37"/>
      <c r="D64" s="37"/>
      <c r="E64" s="37"/>
      <c r="F64" s="37"/>
      <c r="G64" s="37"/>
      <c r="H64" s="37"/>
      <c r="I64" s="37"/>
      <c r="J64" s="37"/>
    </row>
    <row r="65" s="37" customFormat="1" ht="16" customHeight="1" x14ac:dyDescent="0.2"/>
    <row r="66" s="37" customFormat="1" ht="16" customHeight="1" x14ac:dyDescent="0.2"/>
    <row r="67" s="37" customFormat="1" ht="16" customHeight="1" x14ac:dyDescent="0.2"/>
    <row r="68" s="37" customFormat="1" ht="16" customHeight="1" x14ac:dyDescent="0.2"/>
    <row r="69" s="37" customFormat="1" ht="16" customHeight="1" x14ac:dyDescent="0.2"/>
    <row r="70" s="37" customFormat="1" ht="16" customHeight="1" x14ac:dyDescent="0.2"/>
    <row r="71" s="37" customFormat="1" ht="16" customHeight="1" x14ac:dyDescent="0.2"/>
    <row r="72" s="37" customFormat="1" ht="16" customHeight="1" x14ac:dyDescent="0.2"/>
    <row r="73" s="37" customFormat="1" ht="16" customHeight="1" x14ac:dyDescent="0.2"/>
    <row r="74" s="37" customFormat="1" ht="16" customHeight="1" x14ac:dyDescent="0.2"/>
    <row r="75" s="37" customFormat="1" ht="16" customHeight="1" x14ac:dyDescent="0.2"/>
    <row r="76" s="37" customFormat="1" ht="16" customHeight="1" x14ac:dyDescent="0.2"/>
    <row r="77" s="37" customFormat="1" ht="16" customHeight="1" x14ac:dyDescent="0.2"/>
    <row r="78" s="37" customFormat="1" ht="16" customHeight="1" x14ac:dyDescent="0.2"/>
    <row r="79" s="37" customFormat="1" ht="16" customHeight="1" x14ac:dyDescent="0.2"/>
    <row r="80" s="37" customFormat="1" ht="16" customHeight="1" x14ac:dyDescent="0.2"/>
    <row r="81" s="37" customFormat="1" ht="16" customHeight="1" x14ac:dyDescent="0.2"/>
    <row r="82" s="37" customFormat="1" ht="16" customHeight="1" x14ac:dyDescent="0.2"/>
    <row r="83" s="37" customFormat="1" ht="16" customHeight="1" x14ac:dyDescent="0.2"/>
    <row r="84" s="37" customFormat="1" ht="16" customHeight="1" x14ac:dyDescent="0.2"/>
    <row r="85" s="37" customFormat="1" ht="16" customHeight="1" x14ac:dyDescent="0.2"/>
    <row r="86" s="37" customFormat="1" ht="16" customHeight="1" x14ac:dyDescent="0.2"/>
    <row r="87" s="37" customFormat="1" ht="16" customHeight="1" x14ac:dyDescent="0.2"/>
    <row r="88" s="37" customFormat="1" ht="16" customHeight="1" x14ac:dyDescent="0.2"/>
    <row r="89" s="37" customFormat="1" ht="16" customHeight="1" x14ac:dyDescent="0.2"/>
    <row r="90" s="37" customFormat="1" ht="16" customHeight="1" x14ac:dyDescent="0.2"/>
    <row r="91" s="37" customFormat="1" ht="16" customHeight="1" x14ac:dyDescent="0.2"/>
    <row r="92" s="37" customFormat="1" ht="16" customHeight="1" x14ac:dyDescent="0.2"/>
    <row r="93" s="37" customFormat="1" ht="16" customHeight="1" x14ac:dyDescent="0.2"/>
    <row r="94" s="37" customFormat="1" ht="16" customHeight="1" x14ac:dyDescent="0.2"/>
    <row r="95" s="37" customFormat="1" ht="16" customHeight="1" x14ac:dyDescent="0.2"/>
    <row r="96" s="37" customFormat="1" ht="16" customHeight="1" x14ac:dyDescent="0.2"/>
    <row r="97" s="37" customFormat="1" ht="16" customHeight="1" x14ac:dyDescent="0.2"/>
    <row r="98" s="37" customFormat="1" ht="16" customHeight="1" x14ac:dyDescent="0.2"/>
    <row r="99" s="37" customFormat="1" ht="16" customHeight="1" x14ac:dyDescent="0.2"/>
    <row r="100" s="37" customFormat="1" ht="16" customHeight="1" x14ac:dyDescent="0.2"/>
    <row r="101" s="37" customFormat="1" ht="16" customHeight="1" x14ac:dyDescent="0.2"/>
    <row r="102" s="37" customFormat="1" ht="16" customHeight="1" x14ac:dyDescent="0.2"/>
    <row r="103" s="37" customFormat="1" ht="16" customHeight="1" x14ac:dyDescent="0.2"/>
    <row r="104" s="37" customFormat="1" ht="16" customHeight="1" x14ac:dyDescent="0.2"/>
    <row r="105" s="37" customFormat="1" ht="16" customHeight="1" x14ac:dyDescent="0.2"/>
    <row r="106" s="37" customFormat="1" ht="16" customHeight="1" x14ac:dyDescent="0.2"/>
    <row r="107" s="37" customFormat="1" ht="16" customHeight="1" x14ac:dyDescent="0.2"/>
    <row r="108" s="37" customFormat="1" ht="16" customHeight="1" x14ac:dyDescent="0.2"/>
    <row r="109" s="37" customFormat="1" ht="16" customHeight="1" x14ac:dyDescent="0.2"/>
    <row r="110" s="37" customFormat="1" ht="16" customHeight="1" x14ac:dyDescent="0.2"/>
    <row r="111" s="37" customFormat="1" ht="16" customHeight="1" x14ac:dyDescent="0.2"/>
    <row r="112" s="37" customFormat="1" ht="16" customHeight="1" x14ac:dyDescent="0.2"/>
    <row r="113" s="37" customFormat="1" ht="16" customHeight="1" x14ac:dyDescent="0.2"/>
    <row r="114" s="37" customFormat="1" ht="16" customHeight="1" x14ac:dyDescent="0.2"/>
    <row r="115" s="37" customFormat="1" ht="16" customHeight="1" x14ac:dyDescent="0.2"/>
    <row r="116" s="37" customFormat="1" ht="16" customHeight="1" x14ac:dyDescent="0.2"/>
    <row r="117" s="37" customFormat="1" ht="16" customHeight="1" x14ac:dyDescent="0.2"/>
    <row r="118" s="37" customFormat="1" ht="16" customHeight="1" x14ac:dyDescent="0.2"/>
    <row r="119" s="37" customFormat="1" ht="16" customHeight="1" x14ac:dyDescent="0.2"/>
    <row r="120" s="37" customFormat="1" ht="16" customHeight="1" x14ac:dyDescent="0.2"/>
    <row r="121" s="37" customFormat="1" ht="16" customHeight="1" x14ac:dyDescent="0.2"/>
    <row r="122" s="37" customFormat="1" ht="16" customHeight="1" x14ac:dyDescent="0.2"/>
    <row r="123" s="37" customFormat="1" ht="16" customHeight="1" x14ac:dyDescent="0.2"/>
    <row r="124" s="37" customFormat="1" ht="16" customHeight="1" x14ac:dyDescent="0.2"/>
    <row r="125" s="37" customFormat="1" ht="16" customHeight="1" x14ac:dyDescent="0.2"/>
    <row r="126" s="37" customFormat="1" ht="16" customHeight="1" x14ac:dyDescent="0.2"/>
  </sheetData>
  <mergeCells count="16">
    <mergeCell ref="B63:K63"/>
    <mergeCell ref="A3:J3"/>
    <mergeCell ref="A4:J4"/>
    <mergeCell ref="A5:D5"/>
    <mergeCell ref="A6:J6"/>
    <mergeCell ref="A7:B10"/>
    <mergeCell ref="C7:C10"/>
    <mergeCell ref="D7:H7"/>
    <mergeCell ref="I7:J8"/>
    <mergeCell ref="D8:D9"/>
    <mergeCell ref="E8:E9"/>
    <mergeCell ref="F8:F9"/>
    <mergeCell ref="G8:G9"/>
    <mergeCell ref="H8:H9"/>
    <mergeCell ref="A60:J60"/>
    <mergeCell ref="A61:J61"/>
  </mergeCells>
  <printOptions horizontalCentered="1"/>
  <pageMargins left="0.70866141732283472" right="0.39370078740157483" top="0.39370078740157483" bottom="0.39370078740157483" header="0" footer="0"/>
  <pageSetup paperSize="9" scale="91"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CA41D-7C2C-4EB3-8308-A7BF18064977}">
  <sheetPr codeName="Tabelle5"/>
  <dimension ref="A1:K110"/>
  <sheetViews>
    <sheetView showGridLines="0" zoomScaleNormal="100" workbookViewId="0"/>
  </sheetViews>
  <sheetFormatPr defaultColWidth="8.81640625" defaultRowHeight="16" customHeight="1" x14ac:dyDescent="0.2"/>
  <cols>
    <col min="1" max="1" width="10" style="37" customWidth="1"/>
    <col min="2" max="2" width="35.7265625" style="37" customWidth="1"/>
    <col min="3" max="3" width="6.26953125" style="61" customWidth="1"/>
    <col min="4" max="4" width="11.7265625" style="90" customWidth="1"/>
    <col min="5" max="9" width="15" style="90" customWidth="1"/>
    <col min="10" max="10" width="10.7265625" style="144" bestFit="1" customWidth="1"/>
    <col min="11" max="11" width="10" style="115" bestFit="1" customWidth="1"/>
    <col min="12" max="16384" width="8.81640625" style="37"/>
  </cols>
  <sheetData>
    <row r="1" spans="1:11" customFormat="1" ht="36.75" customHeight="1" x14ac:dyDescent="0.25">
      <c r="A1" s="30"/>
      <c r="B1" s="31"/>
      <c r="C1" s="31"/>
      <c r="D1" s="31"/>
      <c r="E1" s="31"/>
      <c r="F1" s="31"/>
      <c r="G1" s="31"/>
      <c r="H1" s="31"/>
      <c r="I1" s="11" t="s">
        <v>40</v>
      </c>
      <c r="J1" s="92"/>
      <c r="K1" s="93"/>
    </row>
    <row r="2" spans="1:11" customFormat="1" ht="6.25" customHeight="1" x14ac:dyDescent="0.25">
      <c r="A2" s="33"/>
      <c r="B2" s="34"/>
      <c r="C2" s="34"/>
      <c r="D2" s="34"/>
      <c r="E2" s="34"/>
      <c r="F2" s="34"/>
      <c r="G2" s="34"/>
      <c r="H2" s="34"/>
      <c r="I2" s="34"/>
      <c r="J2" s="92"/>
      <c r="K2" s="93"/>
    </row>
    <row r="3" spans="1:11" s="35" customFormat="1" ht="15.5" x14ac:dyDescent="0.35">
      <c r="A3" s="445" t="s">
        <v>118</v>
      </c>
      <c r="B3" s="445"/>
      <c r="C3" s="445"/>
      <c r="D3" s="445"/>
      <c r="E3" s="445"/>
      <c r="F3" s="445"/>
      <c r="G3" s="445"/>
      <c r="H3" s="445"/>
      <c r="I3" s="445"/>
      <c r="J3" s="94"/>
      <c r="K3" s="95"/>
    </row>
    <row r="4" spans="1:11" s="35" customFormat="1" ht="15.5" x14ac:dyDescent="0.35">
      <c r="A4" s="445" t="s">
        <v>119</v>
      </c>
      <c r="B4" s="445"/>
      <c r="C4" s="445"/>
      <c r="D4" s="445"/>
      <c r="E4" s="445"/>
      <c r="F4" s="445"/>
      <c r="G4" s="445"/>
      <c r="H4" s="445"/>
      <c r="I4" s="445"/>
      <c r="J4" s="94"/>
      <c r="K4" s="95"/>
    </row>
    <row r="5" spans="1:11" s="35" customFormat="1" ht="12" customHeight="1" x14ac:dyDescent="0.35">
      <c r="A5" s="447" t="s">
        <v>120</v>
      </c>
      <c r="B5" s="447"/>
      <c r="C5" s="447"/>
      <c r="D5" s="447"/>
      <c r="E5" s="96"/>
      <c r="F5" s="96"/>
      <c r="G5" s="96"/>
      <c r="H5" s="96"/>
      <c r="I5" s="16"/>
      <c r="J5" s="94"/>
      <c r="K5" s="95"/>
    </row>
    <row r="6" spans="1:11" s="35" customFormat="1" ht="11.25" customHeight="1" x14ac:dyDescent="0.35">
      <c r="A6" s="474" t="s">
        <v>42</v>
      </c>
      <c r="B6" s="474"/>
      <c r="C6" s="97"/>
      <c r="D6" s="475" t="s">
        <v>121</v>
      </c>
      <c r="E6" s="475"/>
      <c r="F6" s="475"/>
      <c r="G6" s="475"/>
      <c r="H6" s="475"/>
      <c r="I6" s="475"/>
      <c r="J6" s="94"/>
      <c r="K6" s="95"/>
    </row>
    <row r="7" spans="1:11" s="35" customFormat="1" ht="25" customHeight="1" x14ac:dyDescent="0.35">
      <c r="A7" s="98"/>
      <c r="B7" s="99"/>
      <c r="C7" s="100"/>
      <c r="D7" s="476" t="s">
        <v>51</v>
      </c>
      <c r="E7" s="476"/>
      <c r="F7" s="476"/>
      <c r="G7" s="476" t="s">
        <v>122</v>
      </c>
      <c r="H7" s="476"/>
      <c r="I7" s="476"/>
      <c r="J7" s="94"/>
      <c r="K7" s="95"/>
    </row>
    <row r="8" spans="1:11" s="35" customFormat="1" ht="15" customHeight="1" x14ac:dyDescent="0.35">
      <c r="A8" s="101"/>
      <c r="B8" s="102"/>
      <c r="C8" s="102"/>
      <c r="D8" s="102"/>
      <c r="E8" s="102"/>
      <c r="F8" s="102"/>
      <c r="G8" s="102"/>
      <c r="H8" s="102"/>
      <c r="I8" s="103"/>
    </row>
    <row r="9" spans="1:11" s="107" customFormat="1" ht="25" customHeight="1" x14ac:dyDescent="0.25">
      <c r="A9" s="104" t="s">
        <v>7</v>
      </c>
      <c r="B9" s="105"/>
      <c r="C9" s="105"/>
      <c r="D9" s="105"/>
      <c r="E9" s="105"/>
      <c r="F9" s="105"/>
      <c r="G9" s="105"/>
      <c r="H9" s="105"/>
      <c r="I9" s="106"/>
    </row>
    <row r="10" spans="1:11" s="107" customFormat="1" ht="25" customHeight="1" x14ac:dyDescent="0.25">
      <c r="A10" s="104" t="s">
        <v>123</v>
      </c>
      <c r="B10" s="105"/>
      <c r="C10" s="105"/>
      <c r="D10" s="105"/>
      <c r="E10" s="105"/>
      <c r="F10" s="105"/>
      <c r="G10" s="105"/>
      <c r="H10" s="105"/>
      <c r="I10" s="106"/>
    </row>
    <row r="11" spans="1:11" s="107" customFormat="1" ht="25" customHeight="1" x14ac:dyDescent="0.25">
      <c r="A11" s="104" t="s">
        <v>124</v>
      </c>
      <c r="B11" s="105"/>
      <c r="C11" s="105"/>
      <c r="D11" s="105"/>
      <c r="E11" s="105"/>
      <c r="F11" s="105"/>
      <c r="G11" s="105"/>
      <c r="H11" s="105"/>
      <c r="I11" s="106"/>
    </row>
    <row r="12" spans="1:11" s="107" customFormat="1" ht="25" customHeight="1" x14ac:dyDescent="0.25">
      <c r="A12" s="104" t="s">
        <v>125</v>
      </c>
      <c r="B12" s="105"/>
      <c r="C12" s="105"/>
      <c r="D12" s="105"/>
      <c r="E12" s="105"/>
      <c r="F12" s="105"/>
      <c r="G12" s="105"/>
      <c r="H12" s="105"/>
      <c r="I12" s="106"/>
    </row>
    <row r="13" spans="1:11" ht="0.75" customHeight="1" x14ac:dyDescent="0.2">
      <c r="A13" s="62"/>
      <c r="B13" s="63"/>
      <c r="C13" s="108"/>
      <c r="D13" s="109"/>
      <c r="E13" s="109"/>
      <c r="F13" s="109"/>
      <c r="G13" s="109"/>
      <c r="H13" s="109"/>
      <c r="I13" s="110"/>
      <c r="J13" s="111"/>
      <c r="K13" s="37"/>
    </row>
    <row r="14" spans="1:11" ht="10" customHeight="1" x14ac:dyDescent="0.2">
      <c r="A14" s="59"/>
      <c r="B14" s="58"/>
      <c r="C14" s="91"/>
      <c r="D14" s="112"/>
      <c r="E14" s="112"/>
      <c r="F14" s="112"/>
      <c r="G14" s="112"/>
      <c r="H14" s="112"/>
      <c r="I14" s="113"/>
      <c r="J14" s="114"/>
    </row>
    <row r="15" spans="1:11" s="35" customFormat="1" ht="15.5" x14ac:dyDescent="0.35">
      <c r="A15" s="469" t="s">
        <v>7</v>
      </c>
      <c r="B15" s="470"/>
      <c r="C15" s="470"/>
      <c r="D15" s="470"/>
      <c r="E15" s="470"/>
      <c r="F15" s="470"/>
      <c r="G15" s="470"/>
      <c r="H15" s="470"/>
      <c r="I15" s="471"/>
      <c r="J15" s="92"/>
      <c r="K15" s="95"/>
    </row>
    <row r="16" spans="1:11" s="119" customFormat="1" ht="25" customHeight="1" x14ac:dyDescent="0.25">
      <c r="A16" s="472" t="s">
        <v>98</v>
      </c>
      <c r="B16" s="473"/>
      <c r="C16" s="116"/>
      <c r="D16" s="117"/>
      <c r="E16" s="117"/>
      <c r="F16" s="117"/>
      <c r="G16" s="117"/>
      <c r="H16" s="117"/>
      <c r="I16" s="118"/>
    </row>
    <row r="17" spans="1:9" s="125" customFormat="1" ht="25" customHeight="1" x14ac:dyDescent="0.25">
      <c r="A17" s="120" t="s">
        <v>126</v>
      </c>
      <c r="B17" s="121" t="s">
        <v>127</v>
      </c>
      <c r="C17" s="122"/>
      <c r="D17" s="123"/>
      <c r="E17" s="123"/>
      <c r="F17" s="123"/>
      <c r="G17" s="123"/>
      <c r="H17" s="123"/>
      <c r="I17" s="124"/>
    </row>
    <row r="18" spans="1:9" s="125" customFormat="1" ht="25" customHeight="1" x14ac:dyDescent="0.25">
      <c r="A18" s="120" t="s">
        <v>128</v>
      </c>
      <c r="B18" s="126" t="s">
        <v>129</v>
      </c>
      <c r="C18" s="122"/>
      <c r="D18" s="123"/>
      <c r="E18" s="123"/>
      <c r="F18" s="123"/>
      <c r="G18" s="123"/>
      <c r="H18" s="123"/>
      <c r="I18" s="124"/>
    </row>
    <row r="19" spans="1:9" s="127" customFormat="1" ht="25" customHeight="1" x14ac:dyDescent="0.25">
      <c r="A19" s="120" t="s">
        <v>130</v>
      </c>
      <c r="B19" s="126" t="s">
        <v>131</v>
      </c>
      <c r="C19" s="122"/>
      <c r="D19" s="123"/>
      <c r="E19" s="123"/>
      <c r="F19" s="123"/>
      <c r="G19" s="123"/>
      <c r="H19" s="123"/>
      <c r="I19" s="124"/>
    </row>
    <row r="20" spans="1:9" s="125" customFormat="1" ht="25" customHeight="1" x14ac:dyDescent="0.25">
      <c r="A20" s="120" t="s">
        <v>132</v>
      </c>
      <c r="B20" s="467" t="s">
        <v>133</v>
      </c>
      <c r="C20" s="467"/>
      <c r="D20" s="123"/>
      <c r="E20" s="123"/>
      <c r="F20" s="123"/>
      <c r="G20" s="123"/>
      <c r="H20" s="123"/>
      <c r="I20" s="124"/>
    </row>
    <row r="21" spans="1:9" s="127" customFormat="1" ht="25" customHeight="1" x14ac:dyDescent="0.25">
      <c r="A21" s="120" t="s">
        <v>134</v>
      </c>
      <c r="B21" s="126" t="s">
        <v>135</v>
      </c>
      <c r="C21" s="122"/>
      <c r="D21" s="123"/>
      <c r="E21" s="123"/>
      <c r="F21" s="123"/>
      <c r="G21" s="123"/>
      <c r="H21" s="123"/>
      <c r="I21" s="124"/>
    </row>
    <row r="22" spans="1:9" s="125" customFormat="1" ht="25" customHeight="1" x14ac:dyDescent="0.25">
      <c r="A22" s="120" t="s">
        <v>136</v>
      </c>
      <c r="B22" s="467" t="s">
        <v>137</v>
      </c>
      <c r="C22" s="467"/>
      <c r="D22" s="123"/>
      <c r="E22" s="123"/>
      <c r="F22" s="123"/>
      <c r="G22" s="123"/>
      <c r="H22" s="123"/>
      <c r="I22" s="124"/>
    </row>
    <row r="23" spans="1:9" s="127" customFormat="1" ht="25" customHeight="1" x14ac:dyDescent="0.25">
      <c r="A23" s="128" t="s">
        <v>138</v>
      </c>
      <c r="B23" s="129" t="s">
        <v>139</v>
      </c>
      <c r="C23" s="122"/>
      <c r="D23" s="123"/>
      <c r="E23" s="123"/>
      <c r="F23" s="123"/>
      <c r="G23" s="123"/>
      <c r="H23" s="123"/>
      <c r="I23" s="124"/>
    </row>
    <row r="24" spans="1:9" s="125" customFormat="1" ht="25" customHeight="1" x14ac:dyDescent="0.25">
      <c r="A24" s="120" t="s">
        <v>140</v>
      </c>
      <c r="B24" s="126" t="s">
        <v>141</v>
      </c>
      <c r="C24" s="122"/>
      <c r="D24" s="123"/>
      <c r="E24" s="123"/>
      <c r="F24" s="123"/>
      <c r="G24" s="123"/>
      <c r="H24" s="123"/>
      <c r="I24" s="124"/>
    </row>
    <row r="25" spans="1:9" s="127" customFormat="1" ht="25" customHeight="1" x14ac:dyDescent="0.25">
      <c r="A25" s="120" t="s">
        <v>142</v>
      </c>
      <c r="B25" s="126" t="s">
        <v>143</v>
      </c>
      <c r="C25" s="122"/>
      <c r="D25" s="123"/>
      <c r="E25" s="123"/>
      <c r="F25" s="123"/>
      <c r="G25" s="123"/>
      <c r="H25" s="123"/>
      <c r="I25" s="124"/>
    </row>
    <row r="26" spans="1:9" s="125" customFormat="1" ht="25" customHeight="1" x14ac:dyDescent="0.25">
      <c r="A26" s="128" t="s">
        <v>144</v>
      </c>
      <c r="B26" s="129" t="s">
        <v>145</v>
      </c>
      <c r="C26" s="122"/>
      <c r="D26" s="123"/>
      <c r="E26" s="123"/>
      <c r="F26" s="123"/>
      <c r="G26" s="123"/>
      <c r="H26" s="123"/>
      <c r="I26" s="124"/>
    </row>
    <row r="27" spans="1:9" s="125" customFormat="1" ht="25" customHeight="1" x14ac:dyDescent="0.25">
      <c r="A27" s="128" t="s">
        <v>146</v>
      </c>
      <c r="B27" s="126" t="s">
        <v>147</v>
      </c>
      <c r="C27" s="122"/>
      <c r="D27" s="123"/>
      <c r="E27" s="123"/>
      <c r="F27" s="123"/>
      <c r="G27" s="123"/>
      <c r="H27" s="123"/>
      <c r="I27" s="124"/>
    </row>
    <row r="28" spans="1:9" s="125" customFormat="1" ht="25" customHeight="1" x14ac:dyDescent="0.25">
      <c r="A28" s="120" t="s">
        <v>148</v>
      </c>
      <c r="B28" s="467" t="s">
        <v>149</v>
      </c>
      <c r="C28" s="467"/>
      <c r="D28" s="123"/>
      <c r="E28" s="123"/>
      <c r="F28" s="123"/>
      <c r="G28" s="123"/>
      <c r="H28" s="123"/>
      <c r="I28" s="124"/>
    </row>
    <row r="29" spans="1:9" s="125" customFormat="1" ht="25" customHeight="1" x14ac:dyDescent="0.25">
      <c r="A29" s="120" t="s">
        <v>150</v>
      </c>
      <c r="B29" s="467" t="s">
        <v>151</v>
      </c>
      <c r="C29" s="467"/>
      <c r="D29" s="123"/>
      <c r="E29" s="123"/>
      <c r="F29" s="123"/>
      <c r="G29" s="123"/>
      <c r="H29" s="123"/>
      <c r="I29" s="124"/>
    </row>
    <row r="30" spans="1:9" s="125" customFormat="1" ht="25" customHeight="1" x14ac:dyDescent="0.25">
      <c r="A30" s="128" t="s">
        <v>152</v>
      </c>
      <c r="B30" s="466" t="s">
        <v>153</v>
      </c>
      <c r="C30" s="466"/>
      <c r="D30" s="123"/>
      <c r="E30" s="123"/>
      <c r="F30" s="123"/>
      <c r="G30" s="123"/>
      <c r="H30" s="123"/>
      <c r="I30" s="124"/>
    </row>
    <row r="31" spans="1:9" s="125" customFormat="1" ht="25" customHeight="1" x14ac:dyDescent="0.25">
      <c r="A31" s="120" t="s">
        <v>154</v>
      </c>
      <c r="B31" s="466" t="s">
        <v>155</v>
      </c>
      <c r="C31" s="466"/>
      <c r="D31" s="123"/>
      <c r="E31" s="123"/>
      <c r="F31" s="123"/>
      <c r="G31" s="123"/>
      <c r="H31" s="123"/>
      <c r="I31" s="124"/>
    </row>
    <row r="32" spans="1:9" s="125" customFormat="1" ht="25" customHeight="1" x14ac:dyDescent="0.25">
      <c r="A32" s="128">
        <v>782.78300000000002</v>
      </c>
      <c r="B32" s="130" t="s">
        <v>156</v>
      </c>
      <c r="C32" s="122"/>
      <c r="D32" s="123"/>
      <c r="E32" s="123"/>
      <c r="F32" s="123"/>
      <c r="G32" s="123"/>
      <c r="H32" s="123"/>
      <c r="I32" s="124"/>
    </row>
    <row r="33" spans="1:11" s="125" customFormat="1" ht="25" customHeight="1" x14ac:dyDescent="0.25">
      <c r="A33" s="120" t="s">
        <v>157</v>
      </c>
      <c r="B33" s="467" t="s">
        <v>158</v>
      </c>
      <c r="C33" s="467"/>
      <c r="D33" s="123"/>
      <c r="E33" s="123"/>
      <c r="F33" s="123"/>
      <c r="G33" s="123"/>
      <c r="H33" s="123"/>
      <c r="I33" s="124"/>
    </row>
    <row r="34" spans="1:11" s="125" customFormat="1" ht="25" customHeight="1" x14ac:dyDescent="0.25">
      <c r="A34" s="120" t="s">
        <v>159</v>
      </c>
      <c r="B34" s="126" t="s">
        <v>160</v>
      </c>
      <c r="C34" s="122"/>
      <c r="D34" s="123"/>
      <c r="E34" s="123"/>
      <c r="F34" s="123"/>
      <c r="G34" s="123"/>
      <c r="H34" s="123"/>
      <c r="I34" s="124"/>
    </row>
    <row r="35" spans="1:11" s="125" customFormat="1" ht="25" customHeight="1" x14ac:dyDescent="0.25">
      <c r="A35" s="120">
        <v>86</v>
      </c>
      <c r="B35" s="126" t="s">
        <v>161</v>
      </c>
      <c r="C35" s="122"/>
      <c r="D35" s="123"/>
      <c r="E35" s="123"/>
      <c r="F35" s="123"/>
      <c r="G35" s="123"/>
      <c r="H35" s="123"/>
      <c r="I35" s="124"/>
    </row>
    <row r="36" spans="1:11" s="125" customFormat="1" ht="25" customHeight="1" x14ac:dyDescent="0.25">
      <c r="A36" s="120">
        <v>87.88</v>
      </c>
      <c r="B36" s="131" t="s">
        <v>162</v>
      </c>
      <c r="C36" s="122"/>
      <c r="D36" s="123"/>
      <c r="E36" s="123"/>
      <c r="F36" s="123"/>
      <c r="G36" s="123"/>
      <c r="H36" s="123"/>
      <c r="I36" s="124"/>
    </row>
    <row r="37" spans="1:11" s="125" customFormat="1" ht="25" customHeight="1" x14ac:dyDescent="0.25">
      <c r="A37" s="120" t="s">
        <v>163</v>
      </c>
      <c r="B37" s="467" t="s">
        <v>164</v>
      </c>
      <c r="C37" s="467"/>
      <c r="D37" s="123"/>
      <c r="E37" s="123"/>
      <c r="F37" s="123"/>
      <c r="G37" s="123"/>
      <c r="H37" s="123"/>
      <c r="I37" s="124"/>
    </row>
    <row r="38" spans="1:11" s="125" customFormat="1" ht="25" customHeight="1" x14ac:dyDescent="0.25">
      <c r="A38" s="120"/>
      <c r="B38" s="131" t="s">
        <v>165</v>
      </c>
      <c r="C38" s="122"/>
      <c r="D38" s="123"/>
      <c r="E38" s="123"/>
      <c r="F38" s="123"/>
      <c r="G38" s="123"/>
      <c r="H38" s="123"/>
      <c r="I38" s="124"/>
    </row>
    <row r="39" spans="1:11" s="125" customFormat="1" ht="25" customHeight="1" x14ac:dyDescent="0.25">
      <c r="A39" s="132" t="s">
        <v>166</v>
      </c>
      <c r="B39" s="133"/>
      <c r="C39" s="122"/>
      <c r="D39" s="123"/>
      <c r="E39" s="123"/>
      <c r="F39" s="123"/>
      <c r="G39" s="123"/>
      <c r="H39" s="123"/>
      <c r="I39" s="124"/>
    </row>
    <row r="40" spans="1:11" s="125" customFormat="1" ht="25" customHeight="1" x14ac:dyDescent="0.25">
      <c r="A40" s="134" t="s">
        <v>126</v>
      </c>
      <c r="B40" s="135" t="s">
        <v>127</v>
      </c>
      <c r="C40" s="122"/>
      <c r="D40" s="123"/>
      <c r="E40" s="123"/>
      <c r="F40" s="123"/>
      <c r="G40" s="123"/>
      <c r="H40" s="123"/>
      <c r="I40" s="124"/>
    </row>
    <row r="41" spans="1:11" s="125" customFormat="1" ht="25" customHeight="1" x14ac:dyDescent="0.25">
      <c r="A41" s="134" t="s">
        <v>167</v>
      </c>
      <c r="B41" s="135" t="s">
        <v>168</v>
      </c>
      <c r="C41" s="122"/>
      <c r="D41" s="123"/>
      <c r="E41" s="123"/>
      <c r="F41" s="123"/>
      <c r="G41" s="123"/>
      <c r="H41" s="123"/>
      <c r="I41" s="124"/>
    </row>
    <row r="42" spans="1:11" s="125" customFormat="1" ht="25" customHeight="1" x14ac:dyDescent="0.25">
      <c r="A42" s="134" t="s">
        <v>169</v>
      </c>
      <c r="B42" s="135" t="s">
        <v>170</v>
      </c>
      <c r="C42" s="122"/>
      <c r="D42" s="123"/>
      <c r="E42" s="123"/>
      <c r="F42" s="123"/>
      <c r="G42" s="123"/>
      <c r="H42" s="123"/>
      <c r="I42" s="124"/>
    </row>
    <row r="43" spans="1:11" ht="2.25" customHeight="1" x14ac:dyDescent="0.2">
      <c r="A43" s="136"/>
      <c r="B43" s="99"/>
      <c r="C43" s="137"/>
      <c r="D43" s="138"/>
      <c r="E43" s="138"/>
      <c r="F43" s="138"/>
      <c r="G43" s="138"/>
      <c r="H43" s="138"/>
      <c r="I43" s="139"/>
      <c r="J43" s="37"/>
      <c r="K43" s="37"/>
    </row>
    <row r="44" spans="1:11" s="140" customFormat="1" ht="11.25" customHeight="1" x14ac:dyDescent="0.2">
      <c r="I44" s="141" t="s">
        <v>37</v>
      </c>
      <c r="J44" s="142"/>
      <c r="K44" s="143"/>
    </row>
    <row r="45" spans="1:11" s="140" customFormat="1" ht="20.149999999999999" customHeight="1" x14ac:dyDescent="0.2">
      <c r="A45" s="468" t="s">
        <v>171</v>
      </c>
      <c r="B45" s="468"/>
      <c r="C45" s="468"/>
      <c r="D45" s="468"/>
      <c r="E45" s="468"/>
      <c r="F45" s="468"/>
      <c r="G45" s="468"/>
      <c r="H45" s="468"/>
      <c r="I45" s="468"/>
    </row>
    <row r="46" spans="1:11" s="140" customFormat="1" ht="9" x14ac:dyDescent="0.2"/>
    <row r="47" spans="1:11" ht="10" x14ac:dyDescent="0.2">
      <c r="A47" s="41"/>
      <c r="C47" s="37"/>
      <c r="D47" s="37"/>
      <c r="E47" s="37"/>
      <c r="F47" s="37"/>
      <c r="G47" s="37"/>
      <c r="H47" s="37"/>
      <c r="I47" s="37"/>
      <c r="J47" s="37"/>
      <c r="K47" s="37"/>
    </row>
    <row r="48" spans="1:11" ht="16" customHeight="1" x14ac:dyDescent="0.2">
      <c r="C48" s="37"/>
      <c r="D48" s="37"/>
      <c r="E48" s="37"/>
      <c r="F48" s="37"/>
      <c r="G48" s="37"/>
      <c r="H48" s="37"/>
      <c r="I48" s="37"/>
    </row>
    <row r="49" spans="10:11" s="37" customFormat="1" ht="16" customHeight="1" x14ac:dyDescent="0.2">
      <c r="J49" s="144"/>
      <c r="K49" s="115"/>
    </row>
    <row r="50" spans="10:11" s="37" customFormat="1" ht="16" customHeight="1" x14ac:dyDescent="0.2">
      <c r="J50" s="144"/>
      <c r="K50" s="115"/>
    </row>
    <row r="51" spans="10:11" s="37" customFormat="1" ht="16" customHeight="1" x14ac:dyDescent="0.2">
      <c r="J51" s="144"/>
      <c r="K51" s="115"/>
    </row>
    <row r="52" spans="10:11" s="37" customFormat="1" ht="16" customHeight="1" x14ac:dyDescent="0.2">
      <c r="J52" s="144"/>
      <c r="K52" s="115"/>
    </row>
    <row r="53" spans="10:11" s="37" customFormat="1" ht="16" customHeight="1" x14ac:dyDescent="0.2">
      <c r="J53" s="144"/>
      <c r="K53" s="115"/>
    </row>
    <row r="54" spans="10:11" s="37" customFormat="1" ht="16" customHeight="1" x14ac:dyDescent="0.2">
      <c r="J54" s="144"/>
      <c r="K54" s="115"/>
    </row>
    <row r="55" spans="10:11" s="37" customFormat="1" ht="16" customHeight="1" x14ac:dyDescent="0.2">
      <c r="J55" s="144"/>
      <c r="K55" s="115"/>
    </row>
    <row r="56" spans="10:11" s="37" customFormat="1" ht="16" customHeight="1" x14ac:dyDescent="0.2">
      <c r="J56" s="144"/>
      <c r="K56" s="115"/>
    </row>
    <row r="57" spans="10:11" s="37" customFormat="1" ht="16" customHeight="1" x14ac:dyDescent="0.2">
      <c r="J57" s="144"/>
      <c r="K57" s="115"/>
    </row>
    <row r="58" spans="10:11" s="37" customFormat="1" ht="16" customHeight="1" x14ac:dyDescent="0.2">
      <c r="J58" s="144"/>
      <c r="K58" s="115"/>
    </row>
    <row r="59" spans="10:11" s="37" customFormat="1" ht="16" customHeight="1" x14ac:dyDescent="0.2">
      <c r="J59" s="144"/>
      <c r="K59" s="115"/>
    </row>
    <row r="60" spans="10:11" s="37" customFormat="1" ht="16" customHeight="1" x14ac:dyDescent="0.2">
      <c r="J60" s="144"/>
      <c r="K60" s="115"/>
    </row>
    <row r="61" spans="10:11" s="37" customFormat="1" ht="16" customHeight="1" x14ac:dyDescent="0.2">
      <c r="J61" s="144"/>
      <c r="K61" s="115"/>
    </row>
    <row r="62" spans="10:11" s="37" customFormat="1" ht="16" customHeight="1" x14ac:dyDescent="0.2">
      <c r="J62" s="144"/>
      <c r="K62" s="115"/>
    </row>
    <row r="63" spans="10:11" s="37" customFormat="1" ht="16" customHeight="1" x14ac:dyDescent="0.2">
      <c r="J63" s="144"/>
      <c r="K63" s="115"/>
    </row>
    <row r="64" spans="10:11" s="37" customFormat="1" ht="16" customHeight="1" x14ac:dyDescent="0.2">
      <c r="J64" s="144"/>
      <c r="K64" s="115"/>
    </row>
    <row r="65" spans="10:11" s="37" customFormat="1" ht="16" customHeight="1" x14ac:dyDescent="0.2">
      <c r="J65" s="144"/>
      <c r="K65" s="115"/>
    </row>
    <row r="66" spans="10:11" s="37" customFormat="1" ht="16" customHeight="1" x14ac:dyDescent="0.2">
      <c r="J66" s="144"/>
      <c r="K66" s="115"/>
    </row>
    <row r="67" spans="10:11" s="37" customFormat="1" ht="16" customHeight="1" x14ac:dyDescent="0.2">
      <c r="J67" s="144"/>
      <c r="K67" s="115"/>
    </row>
    <row r="68" spans="10:11" s="37" customFormat="1" ht="16" customHeight="1" x14ac:dyDescent="0.2">
      <c r="J68" s="144"/>
      <c r="K68" s="115"/>
    </row>
    <row r="69" spans="10:11" s="37" customFormat="1" ht="16" customHeight="1" x14ac:dyDescent="0.2">
      <c r="J69" s="144"/>
      <c r="K69" s="115"/>
    </row>
    <row r="70" spans="10:11" s="37" customFormat="1" ht="16" customHeight="1" x14ac:dyDescent="0.2">
      <c r="J70" s="144"/>
      <c r="K70" s="115"/>
    </row>
    <row r="71" spans="10:11" s="37" customFormat="1" ht="16" customHeight="1" x14ac:dyDescent="0.2">
      <c r="J71" s="144"/>
      <c r="K71" s="115"/>
    </row>
    <row r="72" spans="10:11" s="37" customFormat="1" ht="16" customHeight="1" x14ac:dyDescent="0.2">
      <c r="J72" s="144"/>
      <c r="K72" s="115"/>
    </row>
    <row r="73" spans="10:11" s="37" customFormat="1" ht="16" customHeight="1" x14ac:dyDescent="0.2">
      <c r="J73" s="144"/>
      <c r="K73" s="115"/>
    </row>
    <row r="74" spans="10:11" s="37" customFormat="1" ht="16" customHeight="1" x14ac:dyDescent="0.2">
      <c r="J74" s="144"/>
      <c r="K74" s="115"/>
    </row>
    <row r="75" spans="10:11" s="37" customFormat="1" ht="16" customHeight="1" x14ac:dyDescent="0.2">
      <c r="J75" s="144"/>
      <c r="K75" s="115"/>
    </row>
    <row r="76" spans="10:11" s="37" customFormat="1" ht="16" customHeight="1" x14ac:dyDescent="0.2">
      <c r="J76" s="144"/>
      <c r="K76" s="115"/>
    </row>
    <row r="77" spans="10:11" s="37" customFormat="1" ht="16" customHeight="1" x14ac:dyDescent="0.2">
      <c r="J77" s="144"/>
      <c r="K77" s="115"/>
    </row>
    <row r="78" spans="10:11" s="37" customFormat="1" ht="16" customHeight="1" x14ac:dyDescent="0.2">
      <c r="J78" s="144"/>
      <c r="K78" s="115"/>
    </row>
    <row r="79" spans="10:11" s="37" customFormat="1" ht="16" customHeight="1" x14ac:dyDescent="0.2">
      <c r="J79" s="144"/>
      <c r="K79" s="115"/>
    </row>
    <row r="80" spans="10:11" s="37" customFormat="1" ht="16" customHeight="1" x14ac:dyDescent="0.2">
      <c r="J80" s="144"/>
      <c r="K80" s="115"/>
    </row>
    <row r="81" spans="10:11" s="37" customFormat="1" ht="16" customHeight="1" x14ac:dyDescent="0.2">
      <c r="J81" s="144"/>
      <c r="K81" s="115"/>
    </row>
    <row r="82" spans="10:11" s="37" customFormat="1" ht="16" customHeight="1" x14ac:dyDescent="0.2">
      <c r="J82" s="144"/>
      <c r="K82" s="115"/>
    </row>
    <row r="83" spans="10:11" s="37" customFormat="1" ht="16" customHeight="1" x14ac:dyDescent="0.2">
      <c r="J83" s="144"/>
      <c r="K83" s="115"/>
    </row>
    <row r="84" spans="10:11" s="37" customFormat="1" ht="16" customHeight="1" x14ac:dyDescent="0.2">
      <c r="J84" s="144"/>
      <c r="K84" s="115"/>
    </row>
    <row r="85" spans="10:11" s="37" customFormat="1" ht="16" customHeight="1" x14ac:dyDescent="0.2">
      <c r="J85" s="144"/>
      <c r="K85" s="115"/>
    </row>
    <row r="86" spans="10:11" s="37" customFormat="1" ht="16" customHeight="1" x14ac:dyDescent="0.2">
      <c r="J86" s="144"/>
      <c r="K86" s="115"/>
    </row>
    <row r="87" spans="10:11" s="37" customFormat="1" ht="16" customHeight="1" x14ac:dyDescent="0.2">
      <c r="J87" s="144"/>
      <c r="K87" s="115"/>
    </row>
    <row r="88" spans="10:11" s="37" customFormat="1" ht="16" customHeight="1" x14ac:dyDescent="0.2">
      <c r="J88" s="144"/>
      <c r="K88" s="115"/>
    </row>
    <row r="89" spans="10:11" s="37" customFormat="1" ht="16" customHeight="1" x14ac:dyDescent="0.2">
      <c r="J89" s="144"/>
      <c r="K89" s="115"/>
    </row>
    <row r="90" spans="10:11" s="37" customFormat="1" ht="16" customHeight="1" x14ac:dyDescent="0.2">
      <c r="J90" s="144"/>
      <c r="K90" s="115"/>
    </row>
    <row r="91" spans="10:11" s="37" customFormat="1" ht="16" customHeight="1" x14ac:dyDescent="0.2">
      <c r="J91" s="144"/>
      <c r="K91" s="115"/>
    </row>
    <row r="92" spans="10:11" s="37" customFormat="1" ht="16" customHeight="1" x14ac:dyDescent="0.2">
      <c r="J92" s="144"/>
      <c r="K92" s="115"/>
    </row>
    <row r="93" spans="10:11" s="37" customFormat="1" ht="16" customHeight="1" x14ac:dyDescent="0.2">
      <c r="J93" s="144"/>
      <c r="K93" s="115"/>
    </row>
    <row r="94" spans="10:11" s="37" customFormat="1" ht="16" customHeight="1" x14ac:dyDescent="0.2">
      <c r="J94" s="144"/>
      <c r="K94" s="115"/>
    </row>
    <row r="95" spans="10:11" s="37" customFormat="1" ht="16" customHeight="1" x14ac:dyDescent="0.2">
      <c r="J95" s="144"/>
      <c r="K95" s="115"/>
    </row>
    <row r="96" spans="10:11" s="37" customFormat="1" ht="16" customHeight="1" x14ac:dyDescent="0.2">
      <c r="J96" s="144"/>
      <c r="K96" s="115"/>
    </row>
    <row r="97" spans="10:11" s="37" customFormat="1" ht="16" customHeight="1" x14ac:dyDescent="0.2">
      <c r="J97" s="144"/>
      <c r="K97" s="115"/>
    </row>
    <row r="98" spans="10:11" s="37" customFormat="1" ht="16" customHeight="1" x14ac:dyDescent="0.2">
      <c r="J98" s="144"/>
      <c r="K98" s="115"/>
    </row>
    <row r="99" spans="10:11" s="37" customFormat="1" ht="16" customHeight="1" x14ac:dyDescent="0.2">
      <c r="J99" s="144"/>
      <c r="K99" s="115"/>
    </row>
    <row r="100" spans="10:11" s="37" customFormat="1" ht="16" customHeight="1" x14ac:dyDescent="0.2">
      <c r="J100" s="144"/>
      <c r="K100" s="115"/>
    </row>
    <row r="101" spans="10:11" s="37" customFormat="1" ht="16" customHeight="1" x14ac:dyDescent="0.2">
      <c r="J101" s="144"/>
      <c r="K101" s="115"/>
    </row>
    <row r="102" spans="10:11" s="37" customFormat="1" ht="16" customHeight="1" x14ac:dyDescent="0.2">
      <c r="J102" s="144"/>
      <c r="K102" s="115"/>
    </row>
    <row r="103" spans="10:11" s="37" customFormat="1" ht="16" customHeight="1" x14ac:dyDescent="0.2">
      <c r="J103" s="144"/>
      <c r="K103" s="115"/>
    </row>
    <row r="104" spans="10:11" s="37" customFormat="1" ht="16" customHeight="1" x14ac:dyDescent="0.2">
      <c r="J104" s="144"/>
      <c r="K104" s="115"/>
    </row>
    <row r="105" spans="10:11" s="37" customFormat="1" ht="16" customHeight="1" x14ac:dyDescent="0.2">
      <c r="J105" s="144"/>
      <c r="K105" s="115"/>
    </row>
    <row r="106" spans="10:11" s="37" customFormat="1" ht="16" customHeight="1" x14ac:dyDescent="0.2">
      <c r="J106" s="144"/>
      <c r="K106" s="115"/>
    </row>
    <row r="107" spans="10:11" s="37" customFormat="1" ht="16" customHeight="1" x14ac:dyDescent="0.2">
      <c r="J107" s="144"/>
      <c r="K107" s="115"/>
    </row>
    <row r="108" spans="10:11" s="37" customFormat="1" ht="16" customHeight="1" x14ac:dyDescent="0.2">
      <c r="J108" s="144"/>
      <c r="K108" s="115"/>
    </row>
    <row r="109" spans="10:11" s="37" customFormat="1" ht="16" customHeight="1" x14ac:dyDescent="0.2">
      <c r="J109" s="144"/>
      <c r="K109" s="115"/>
    </row>
    <row r="110" spans="10:11" s="37" customFormat="1" ht="16" customHeight="1" x14ac:dyDescent="0.2">
      <c r="J110" s="144"/>
      <c r="K110" s="115"/>
    </row>
  </sheetData>
  <mergeCells count="18">
    <mergeCell ref="B29:C29"/>
    <mergeCell ref="A3:I3"/>
    <mergeCell ref="A4:I4"/>
    <mergeCell ref="A5:D5"/>
    <mergeCell ref="A6:B6"/>
    <mergeCell ref="D6:I6"/>
    <mergeCell ref="D7:F7"/>
    <mergeCell ref="G7:I7"/>
    <mergeCell ref="A15:I15"/>
    <mergeCell ref="A16:B16"/>
    <mergeCell ref="B20:C20"/>
    <mergeCell ref="B22:C22"/>
    <mergeCell ref="B28:C28"/>
    <mergeCell ref="B30:C30"/>
    <mergeCell ref="B31:C31"/>
    <mergeCell ref="B33:C33"/>
    <mergeCell ref="B37:C37"/>
    <mergeCell ref="A45:I45"/>
  </mergeCells>
  <printOptions horizontalCentered="1"/>
  <pageMargins left="0.7" right="0.7" top="0.75" bottom="0.75" header="0.3" footer="0.3"/>
  <pageSetup paperSize="9" scale="64" fitToWidth="0" fitToHeight="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F71CD-CC2C-4CDA-81C3-1B131CE8735E}">
  <sheetPr codeName="Tabelle7">
    <pageSetUpPr fitToPage="1"/>
  </sheetPr>
  <dimension ref="A1:O200"/>
  <sheetViews>
    <sheetView showGridLines="0" tabSelected="1" topLeftCell="A3" zoomScaleNormal="100" workbookViewId="0">
      <selection activeCell="D17" sqref="D17:D18"/>
    </sheetView>
  </sheetViews>
  <sheetFormatPr defaultColWidth="8.81640625" defaultRowHeight="16" customHeight="1" x14ac:dyDescent="0.2"/>
  <cols>
    <col min="1" max="1" width="3.7265625" style="37" customWidth="1"/>
    <col min="2" max="2" width="18.7265625" style="37" customWidth="1"/>
    <col min="3" max="3" width="6.7265625" style="61" customWidth="1"/>
    <col min="4" max="9" width="9.7265625" style="90" customWidth="1"/>
    <col min="10" max="10" width="9.7265625" style="91" customWidth="1"/>
    <col min="11" max="11" width="9.7265625" style="37" customWidth="1"/>
    <col min="12" max="16384" width="8.81640625" style="37"/>
  </cols>
  <sheetData>
    <row r="1" spans="1:15" customFormat="1" ht="36.75" customHeight="1" x14ac:dyDescent="0.25">
      <c r="A1" s="30" t="s">
        <v>63</v>
      </c>
      <c r="B1" s="31"/>
      <c r="C1" s="31"/>
      <c r="D1" s="31"/>
      <c r="E1" s="31"/>
      <c r="F1" s="31"/>
      <c r="G1" s="31"/>
      <c r="H1" s="31"/>
      <c r="I1" s="31"/>
      <c r="J1" s="32" t="s">
        <v>40</v>
      </c>
    </row>
    <row r="2" spans="1:15" customFormat="1" ht="6.25" customHeight="1" x14ac:dyDescent="0.25">
      <c r="A2" s="33"/>
      <c r="B2" s="34"/>
      <c r="C2" s="34"/>
      <c r="D2" s="34"/>
      <c r="E2" s="34"/>
      <c r="F2" s="34"/>
      <c r="G2" s="34"/>
      <c r="H2" s="34"/>
      <c r="I2" s="34"/>
      <c r="J2" s="34"/>
    </row>
    <row r="3" spans="1:15" s="35" customFormat="1" ht="25" customHeight="1" x14ac:dyDescent="0.35">
      <c r="A3" s="444" t="s">
        <v>172</v>
      </c>
      <c r="B3" s="445"/>
      <c r="C3" s="445"/>
      <c r="D3" s="445"/>
      <c r="E3" s="445"/>
      <c r="F3" s="445"/>
      <c r="G3" s="445"/>
      <c r="H3" s="445"/>
      <c r="I3" s="445"/>
      <c r="J3" s="445"/>
    </row>
    <row r="4" spans="1:15" s="35" customFormat="1" ht="12" customHeight="1" x14ac:dyDescent="0.35">
      <c r="A4" s="447" t="s">
        <v>120</v>
      </c>
      <c r="B4" s="447"/>
      <c r="C4" s="447"/>
      <c r="D4" s="447"/>
      <c r="E4" s="447"/>
      <c r="F4" s="447"/>
      <c r="G4" s="447"/>
      <c r="H4" s="447"/>
      <c r="I4" s="447"/>
      <c r="J4" s="447"/>
    </row>
    <row r="5" spans="1:15" s="35" customFormat="1" ht="11.25" customHeight="1" x14ac:dyDescent="0.35">
      <c r="A5" s="447" t="s">
        <v>42</v>
      </c>
      <c r="B5" s="447"/>
      <c r="C5" s="447"/>
      <c r="D5" s="447"/>
      <c r="E5" s="36"/>
      <c r="F5" s="36"/>
      <c r="G5" s="36"/>
      <c r="H5" s="36"/>
      <c r="I5" s="36"/>
      <c r="J5" s="36"/>
    </row>
    <row r="6" spans="1:15" s="35" customFormat="1" ht="12.75" customHeight="1" x14ac:dyDescent="0.35">
      <c r="A6" s="145"/>
      <c r="B6" s="146"/>
      <c r="C6" s="146"/>
      <c r="D6" s="146"/>
      <c r="E6" s="146"/>
      <c r="F6" s="146"/>
      <c r="G6" s="146"/>
      <c r="H6" s="146"/>
      <c r="I6" s="146"/>
      <c r="J6" s="146"/>
    </row>
    <row r="7" spans="1:15" customFormat="1" ht="12" customHeight="1" x14ac:dyDescent="0.25">
      <c r="A7" s="450" t="s">
        <v>173</v>
      </c>
      <c r="B7" s="451"/>
      <c r="C7" s="456" t="s">
        <v>174</v>
      </c>
      <c r="D7" s="459" t="s">
        <v>175</v>
      </c>
      <c r="E7" s="460"/>
      <c r="F7" s="460"/>
      <c r="G7" s="460"/>
      <c r="H7" s="461"/>
      <c r="I7" s="462" t="s">
        <v>176</v>
      </c>
      <c r="J7" s="463"/>
      <c r="K7" s="37"/>
      <c r="L7" s="37"/>
      <c r="M7" s="37"/>
      <c r="N7" s="37"/>
      <c r="O7" s="37"/>
    </row>
    <row r="8" spans="1:15" ht="21.75" customHeight="1" x14ac:dyDescent="0.2">
      <c r="A8" s="452"/>
      <c r="B8" s="453"/>
      <c r="C8" s="457"/>
      <c r="D8" s="438" t="s">
        <v>91</v>
      </c>
      <c r="E8" s="438" t="s">
        <v>92</v>
      </c>
      <c r="F8" s="438" t="s">
        <v>93</v>
      </c>
      <c r="G8" s="438" t="s">
        <v>94</v>
      </c>
      <c r="H8" s="438" t="s">
        <v>95</v>
      </c>
      <c r="I8" s="464"/>
      <c r="J8" s="465"/>
    </row>
    <row r="9" spans="1:15" ht="12" customHeight="1" x14ac:dyDescent="0.2">
      <c r="A9" s="452"/>
      <c r="B9" s="453"/>
      <c r="C9" s="457"/>
      <c r="D9" s="439"/>
      <c r="E9" s="439"/>
      <c r="F9" s="439"/>
      <c r="G9" s="439"/>
      <c r="H9" s="439"/>
      <c r="I9" s="38" t="s">
        <v>96</v>
      </c>
      <c r="J9" s="39" t="s">
        <v>97</v>
      </c>
    </row>
    <row r="10" spans="1:15" ht="12" customHeight="1" x14ac:dyDescent="0.2">
      <c r="A10" s="454"/>
      <c r="B10" s="455"/>
      <c r="C10" s="458"/>
      <c r="D10" s="40">
        <v>1</v>
      </c>
      <c r="E10" s="40">
        <v>2</v>
      </c>
      <c r="F10" s="40">
        <v>3</v>
      </c>
      <c r="G10" s="40">
        <v>4</v>
      </c>
      <c r="H10" s="40">
        <v>5</v>
      </c>
      <c r="I10" s="40">
        <v>6</v>
      </c>
      <c r="J10" s="40">
        <v>7</v>
      </c>
      <c r="K10" s="41"/>
    </row>
    <row r="11" spans="1:15" ht="14.15" customHeight="1" x14ac:dyDescent="0.25">
      <c r="A11" s="42" t="s">
        <v>7</v>
      </c>
      <c r="B11" s="147"/>
      <c r="C11" s="148"/>
      <c r="D11" s="149"/>
      <c r="E11" s="150"/>
      <c r="F11" s="150"/>
      <c r="G11" s="150"/>
      <c r="H11" s="151"/>
      <c r="I11" s="149"/>
      <c r="J11" s="152"/>
    </row>
    <row r="12" spans="1:15" ht="14.15" customHeight="1" x14ac:dyDescent="0.25">
      <c r="A12" s="65" t="s">
        <v>98</v>
      </c>
      <c r="B12" s="43"/>
      <c r="C12" s="52">
        <v>100</v>
      </c>
      <c r="D12" s="153">
        <v>87540</v>
      </c>
      <c r="E12" s="154">
        <v>87355</v>
      </c>
      <c r="F12" s="53">
        <v>88337</v>
      </c>
      <c r="G12" s="53">
        <v>89302</v>
      </c>
      <c r="H12" s="79">
        <v>88265</v>
      </c>
      <c r="I12" s="54">
        <v>-725</v>
      </c>
      <c r="J12" s="55">
        <v>-0.8213901319888971</v>
      </c>
    </row>
    <row r="13" spans="1:15" ht="12" customHeight="1" x14ac:dyDescent="0.2">
      <c r="A13" s="57" t="s">
        <v>99</v>
      </c>
      <c r="B13" s="58" t="s">
        <v>100</v>
      </c>
      <c r="C13" s="52">
        <v>49.830934429974867</v>
      </c>
      <c r="D13" s="54">
        <v>43622</v>
      </c>
      <c r="E13" s="53">
        <v>43343</v>
      </c>
      <c r="F13" s="53">
        <v>43830</v>
      </c>
      <c r="G13" s="53">
        <v>44432</v>
      </c>
      <c r="H13" s="79">
        <v>43837</v>
      </c>
      <c r="I13" s="54">
        <v>-215</v>
      </c>
      <c r="J13" s="55">
        <v>-0.49045327006866346</v>
      </c>
    </row>
    <row r="14" spans="1:15" ht="12" customHeight="1" x14ac:dyDescent="0.2">
      <c r="A14" s="57"/>
      <c r="B14" s="58" t="s">
        <v>101</v>
      </c>
      <c r="C14" s="52">
        <v>50.169065570025133</v>
      </c>
      <c r="D14" s="54">
        <v>43918</v>
      </c>
      <c r="E14" s="53">
        <v>44012</v>
      </c>
      <c r="F14" s="53">
        <v>44507</v>
      </c>
      <c r="G14" s="53">
        <v>44870</v>
      </c>
      <c r="H14" s="79">
        <v>44428</v>
      </c>
      <c r="I14" s="54">
        <v>-510</v>
      </c>
      <c r="J14" s="55">
        <v>-1.1479247321508959</v>
      </c>
    </row>
    <row r="15" spans="1:15" ht="12" customHeight="1" x14ac:dyDescent="0.2">
      <c r="A15" s="57" t="s">
        <v>99</v>
      </c>
      <c r="B15" s="60" t="s">
        <v>102</v>
      </c>
      <c r="C15" s="52">
        <v>8.6737491432488003</v>
      </c>
      <c r="D15" s="54">
        <v>7593</v>
      </c>
      <c r="E15" s="53">
        <v>7766</v>
      </c>
      <c r="F15" s="53">
        <v>8019</v>
      </c>
      <c r="G15" s="53">
        <v>8270</v>
      </c>
      <c r="H15" s="79">
        <v>7405</v>
      </c>
      <c r="I15" s="54">
        <v>188</v>
      </c>
      <c r="J15" s="55">
        <v>2.5388251181634032</v>
      </c>
    </row>
    <row r="16" spans="1:15" ht="12" customHeight="1" x14ac:dyDescent="0.2">
      <c r="A16" s="57"/>
      <c r="B16" s="60" t="s">
        <v>103</v>
      </c>
      <c r="C16" s="52">
        <v>63.7240118802833</v>
      </c>
      <c r="D16" s="54">
        <v>55784</v>
      </c>
      <c r="E16" s="53">
        <v>55706</v>
      </c>
      <c r="F16" s="53">
        <v>56108</v>
      </c>
      <c r="G16" s="53">
        <v>56667</v>
      </c>
      <c r="H16" s="79">
        <v>56426</v>
      </c>
      <c r="I16" s="54">
        <v>-642</v>
      </c>
      <c r="J16" s="55">
        <v>-1.1377733668876051</v>
      </c>
    </row>
    <row r="17" spans="1:14" ht="12" customHeight="1" x14ac:dyDescent="0.2">
      <c r="A17" s="57"/>
      <c r="B17" s="60" t="s">
        <v>104</v>
      </c>
      <c r="C17" s="52">
        <v>25.98012337217272</v>
      </c>
      <c r="D17" s="54">
        <v>22743</v>
      </c>
      <c r="E17" s="53">
        <v>22529</v>
      </c>
      <c r="F17" s="53">
        <v>22844</v>
      </c>
      <c r="G17" s="53">
        <v>23034</v>
      </c>
      <c r="H17" s="79">
        <v>23160</v>
      </c>
      <c r="I17" s="54">
        <v>-417</v>
      </c>
      <c r="J17" s="55">
        <v>-1.8005181347150259</v>
      </c>
      <c r="L17" s="154"/>
    </row>
    <row r="18" spans="1:14" ht="12" customHeight="1" x14ac:dyDescent="0.2">
      <c r="A18" s="59"/>
      <c r="B18" s="60" t="s">
        <v>105</v>
      </c>
      <c r="C18" s="52">
        <v>1.6221156042951794</v>
      </c>
      <c r="D18" s="54">
        <v>1420</v>
      </c>
      <c r="E18" s="53">
        <v>1354</v>
      </c>
      <c r="F18" s="53">
        <v>1366</v>
      </c>
      <c r="G18" s="53">
        <v>1331</v>
      </c>
      <c r="H18" s="79">
        <v>1274</v>
      </c>
      <c r="I18" s="54">
        <v>146</v>
      </c>
      <c r="J18" s="55">
        <v>11.459968602825745</v>
      </c>
    </row>
    <row r="19" spans="1:14" ht="12" customHeight="1" x14ac:dyDescent="0.2">
      <c r="A19" s="59"/>
      <c r="B19" s="60" t="s">
        <v>106</v>
      </c>
      <c r="C19" s="52">
        <v>0.7425177061914553</v>
      </c>
      <c r="D19" s="54">
        <v>650</v>
      </c>
      <c r="E19" s="53">
        <v>620</v>
      </c>
      <c r="F19" s="53">
        <v>579</v>
      </c>
      <c r="G19" s="53">
        <v>580</v>
      </c>
      <c r="H19" s="79">
        <v>555</v>
      </c>
      <c r="I19" s="54">
        <v>95</v>
      </c>
      <c r="J19" s="55">
        <v>17.117117117117118</v>
      </c>
    </row>
    <row r="20" spans="1:14" ht="12" customHeight="1" x14ac:dyDescent="0.2">
      <c r="A20" s="57" t="s">
        <v>107</v>
      </c>
      <c r="B20" s="58" t="s">
        <v>177</v>
      </c>
      <c r="C20" s="52">
        <v>61.204021018962763</v>
      </c>
      <c r="D20" s="54">
        <v>53578</v>
      </c>
      <c r="E20" s="53">
        <v>53667</v>
      </c>
      <c r="F20" s="53">
        <v>54374</v>
      </c>
      <c r="G20" s="53">
        <v>55180</v>
      </c>
      <c r="H20" s="79">
        <v>54570</v>
      </c>
      <c r="I20" s="54">
        <v>-992</v>
      </c>
      <c r="J20" s="55">
        <v>-1.8178486347810152</v>
      </c>
    </row>
    <row r="21" spans="1:14" ht="12" customHeight="1" x14ac:dyDescent="0.2">
      <c r="A21" s="57"/>
      <c r="B21" s="58" t="s">
        <v>178</v>
      </c>
      <c r="C21" s="52">
        <v>38.795978981037237</v>
      </c>
      <c r="D21" s="54">
        <v>33962</v>
      </c>
      <c r="E21" s="53">
        <v>33688</v>
      </c>
      <c r="F21" s="53">
        <v>33963</v>
      </c>
      <c r="G21" s="53">
        <v>34122</v>
      </c>
      <c r="H21" s="79">
        <v>33695</v>
      </c>
      <c r="I21" s="54">
        <v>267</v>
      </c>
      <c r="J21" s="55">
        <v>0.7924024335954889</v>
      </c>
    </row>
    <row r="22" spans="1:14" ht="12" customHeight="1" x14ac:dyDescent="0.2">
      <c r="A22" s="57" t="s">
        <v>107</v>
      </c>
      <c r="B22" s="58" t="s">
        <v>110</v>
      </c>
      <c r="C22" s="52">
        <v>86.801462188713728</v>
      </c>
      <c r="D22" s="54">
        <v>75986</v>
      </c>
      <c r="E22" s="53">
        <v>76125</v>
      </c>
      <c r="F22" s="53">
        <v>77226</v>
      </c>
      <c r="G22" s="53">
        <v>77999</v>
      </c>
      <c r="H22" s="79">
        <v>77271</v>
      </c>
      <c r="I22" s="54">
        <v>-1285</v>
      </c>
      <c r="J22" s="55">
        <v>-1.6629783489277996</v>
      </c>
    </row>
    <row r="23" spans="1:14" ht="12" customHeight="1" x14ac:dyDescent="0.2">
      <c r="A23" s="57"/>
      <c r="B23" s="58" t="s">
        <v>111</v>
      </c>
      <c r="C23" s="52">
        <v>13.198537811286268</v>
      </c>
      <c r="D23" s="54">
        <v>11554</v>
      </c>
      <c r="E23" s="53">
        <v>11230</v>
      </c>
      <c r="F23" s="53">
        <v>11111</v>
      </c>
      <c r="G23" s="53">
        <v>11303</v>
      </c>
      <c r="H23" s="79">
        <v>10994</v>
      </c>
      <c r="I23" s="54">
        <v>560</v>
      </c>
      <c r="J23" s="55">
        <v>5.0936874658904854</v>
      </c>
    </row>
    <row r="24" spans="1:14" ht="14.15" customHeight="1" x14ac:dyDescent="0.25">
      <c r="A24" s="42" t="s">
        <v>123</v>
      </c>
      <c r="B24" s="147"/>
      <c r="C24" s="148"/>
      <c r="D24" s="155"/>
      <c r="E24" s="156"/>
      <c r="F24" s="156"/>
      <c r="G24" s="156"/>
      <c r="H24" s="157"/>
      <c r="I24" s="149"/>
      <c r="J24" s="152"/>
    </row>
    <row r="25" spans="1:14" ht="14.15" customHeight="1" x14ac:dyDescent="0.25">
      <c r="A25" s="65" t="s">
        <v>98</v>
      </c>
      <c r="B25" s="43"/>
      <c r="C25" s="52">
        <v>100</v>
      </c>
      <c r="D25" s="158">
        <v>1625455</v>
      </c>
      <c r="E25" s="154">
        <v>1629818</v>
      </c>
      <c r="F25" s="154">
        <v>1644126</v>
      </c>
      <c r="G25" s="154">
        <v>1656291</v>
      </c>
      <c r="H25" s="159">
        <v>1637894</v>
      </c>
      <c r="I25" s="153">
        <v>-12439</v>
      </c>
      <c r="J25" s="55">
        <v>-0.75945085579408678</v>
      </c>
    </row>
    <row r="26" spans="1:14" ht="12" customHeight="1" x14ac:dyDescent="0.2">
      <c r="A26" s="57" t="s">
        <v>99</v>
      </c>
      <c r="B26" s="58" t="s">
        <v>100</v>
      </c>
      <c r="C26" s="52">
        <v>52.274470840472361</v>
      </c>
      <c r="D26" s="54">
        <v>849698</v>
      </c>
      <c r="E26" s="53">
        <v>850625</v>
      </c>
      <c r="F26" s="53">
        <v>857604</v>
      </c>
      <c r="G26" s="53">
        <v>865693</v>
      </c>
      <c r="H26" s="79">
        <v>855211</v>
      </c>
      <c r="I26" s="54">
        <v>-5513</v>
      </c>
      <c r="J26" s="55">
        <v>-0.64463623596983666</v>
      </c>
    </row>
    <row r="27" spans="1:14" ht="12" customHeight="1" x14ac:dyDescent="0.2">
      <c r="A27" s="57"/>
      <c r="B27" s="58" t="s">
        <v>101</v>
      </c>
      <c r="C27" s="52">
        <v>47.725529159527639</v>
      </c>
      <c r="D27" s="54">
        <v>775757</v>
      </c>
      <c r="E27" s="53">
        <v>779193</v>
      </c>
      <c r="F27" s="53">
        <v>786522</v>
      </c>
      <c r="G27" s="53">
        <v>790598</v>
      </c>
      <c r="H27" s="79">
        <v>782683</v>
      </c>
      <c r="I27" s="54">
        <v>-6926</v>
      </c>
      <c r="J27" s="55">
        <v>-0.88490487208742241</v>
      </c>
    </row>
    <row r="28" spans="1:14" ht="12" customHeight="1" x14ac:dyDescent="0.2">
      <c r="A28" s="57" t="s">
        <v>99</v>
      </c>
      <c r="B28" s="60" t="s">
        <v>102</v>
      </c>
      <c r="C28" s="52">
        <v>9.2745108292754956</v>
      </c>
      <c r="D28" s="54">
        <v>150753</v>
      </c>
      <c r="E28" s="53">
        <v>155241</v>
      </c>
      <c r="F28" s="53">
        <v>161295</v>
      </c>
      <c r="G28" s="53">
        <v>164699</v>
      </c>
      <c r="H28" s="79">
        <v>149591</v>
      </c>
      <c r="I28" s="54">
        <v>1162</v>
      </c>
      <c r="J28" s="55">
        <v>0.77678469961428165</v>
      </c>
      <c r="L28" s="154"/>
    </row>
    <row r="29" spans="1:14" ht="12" customHeight="1" x14ac:dyDescent="0.2">
      <c r="A29" s="57"/>
      <c r="B29" s="60" t="s">
        <v>103</v>
      </c>
      <c r="C29" s="52">
        <v>65.677610269124642</v>
      </c>
      <c r="D29" s="54">
        <v>1067560</v>
      </c>
      <c r="E29" s="53">
        <v>1069926</v>
      </c>
      <c r="F29" s="53">
        <v>1074923</v>
      </c>
      <c r="G29" s="53">
        <v>1082667</v>
      </c>
      <c r="H29" s="79">
        <v>1079658</v>
      </c>
      <c r="I29" s="54">
        <v>-12098</v>
      </c>
      <c r="J29" s="55">
        <v>-1.1205400228590905</v>
      </c>
    </row>
    <row r="30" spans="1:14" ht="12" customHeight="1" x14ac:dyDescent="0.2">
      <c r="A30" s="57"/>
      <c r="B30" s="60" t="s">
        <v>104</v>
      </c>
      <c r="C30" s="52">
        <v>23.443097471169612</v>
      </c>
      <c r="D30" s="54">
        <v>381057</v>
      </c>
      <c r="E30" s="53">
        <v>379539</v>
      </c>
      <c r="F30" s="53">
        <v>382668</v>
      </c>
      <c r="G30" s="53">
        <v>384574</v>
      </c>
      <c r="H30" s="79">
        <v>385142</v>
      </c>
      <c r="I30" s="54">
        <v>-4085</v>
      </c>
      <c r="J30" s="55">
        <v>-1.0606477610855216</v>
      </c>
    </row>
    <row r="31" spans="1:14" ht="12" customHeight="1" x14ac:dyDescent="0.2">
      <c r="A31" s="59"/>
      <c r="B31" s="60" t="s">
        <v>105</v>
      </c>
      <c r="C31" s="52">
        <v>1.6047814304302488</v>
      </c>
      <c r="D31" s="54">
        <v>26085</v>
      </c>
      <c r="E31" s="53">
        <v>25112</v>
      </c>
      <c r="F31" s="53">
        <v>25240</v>
      </c>
      <c r="G31" s="53">
        <v>24351</v>
      </c>
      <c r="H31" s="79">
        <v>23503</v>
      </c>
      <c r="I31" s="54">
        <v>2582</v>
      </c>
      <c r="J31" s="55">
        <v>10.985831595966472</v>
      </c>
      <c r="N31" s="154"/>
    </row>
    <row r="32" spans="1:14" ht="12" customHeight="1" x14ac:dyDescent="0.2">
      <c r="A32" s="59"/>
      <c r="B32" s="60" t="s">
        <v>106</v>
      </c>
      <c r="C32" s="52">
        <v>0.72318212438978624</v>
      </c>
      <c r="D32" s="54">
        <v>11755</v>
      </c>
      <c r="E32" s="53">
        <v>11433</v>
      </c>
      <c r="F32" s="53">
        <v>10331</v>
      </c>
      <c r="G32" s="53">
        <v>10075</v>
      </c>
      <c r="H32" s="79">
        <v>9619</v>
      </c>
      <c r="I32" s="54">
        <v>2136</v>
      </c>
      <c r="J32" s="55">
        <v>22.206050525002599</v>
      </c>
    </row>
    <row r="33" spans="1:12" ht="12" customHeight="1" x14ac:dyDescent="0.2">
      <c r="A33" s="57" t="s">
        <v>107</v>
      </c>
      <c r="B33" s="58" t="s">
        <v>177</v>
      </c>
      <c r="C33" s="52">
        <v>65.012565712369764</v>
      </c>
      <c r="D33" s="54">
        <v>1056750</v>
      </c>
      <c r="E33" s="53">
        <v>1063271</v>
      </c>
      <c r="F33" s="53">
        <v>1075496</v>
      </c>
      <c r="G33" s="53">
        <v>1087830</v>
      </c>
      <c r="H33" s="79">
        <v>1077220</v>
      </c>
      <c r="I33" s="54">
        <v>-20470</v>
      </c>
      <c r="J33" s="55">
        <v>-1.9002617849650025</v>
      </c>
    </row>
    <row r="34" spans="1:12" ht="12" customHeight="1" x14ac:dyDescent="0.2">
      <c r="A34" s="57"/>
      <c r="B34" s="58" t="s">
        <v>178</v>
      </c>
      <c r="C34" s="52">
        <v>34.987372766394643</v>
      </c>
      <c r="D34" s="54">
        <v>568704</v>
      </c>
      <c r="E34" s="53">
        <v>566546</v>
      </c>
      <c r="F34" s="53">
        <v>568629</v>
      </c>
      <c r="G34" s="53">
        <v>568461</v>
      </c>
      <c r="H34" s="79">
        <v>560674</v>
      </c>
      <c r="I34" s="54">
        <v>8030</v>
      </c>
      <c r="J34" s="55">
        <v>1.4322048106386243</v>
      </c>
    </row>
    <row r="35" spans="1:12" ht="12" customHeight="1" x14ac:dyDescent="0.2">
      <c r="A35" s="57" t="s">
        <v>107</v>
      </c>
      <c r="B35" s="58" t="s">
        <v>110</v>
      </c>
      <c r="C35" s="52">
        <v>90.709001479585723</v>
      </c>
      <c r="D35" s="54">
        <v>1474434</v>
      </c>
      <c r="E35" s="53">
        <v>1481948</v>
      </c>
      <c r="F35" s="53">
        <v>1498132</v>
      </c>
      <c r="G35" s="53">
        <v>1510135</v>
      </c>
      <c r="H35" s="79">
        <v>1496357</v>
      </c>
      <c r="I35" s="54">
        <v>-21923</v>
      </c>
      <c r="J35" s="55">
        <v>-1.4650915523501411</v>
      </c>
      <c r="L35" s="154"/>
    </row>
    <row r="36" spans="1:12" ht="12" customHeight="1" x14ac:dyDescent="0.2">
      <c r="A36" s="57"/>
      <c r="B36" s="58" t="s">
        <v>111</v>
      </c>
      <c r="C36" s="52">
        <v>9.2909985204142842</v>
      </c>
      <c r="D36" s="54">
        <v>151021</v>
      </c>
      <c r="E36" s="53">
        <v>147870</v>
      </c>
      <c r="F36" s="53">
        <v>145994</v>
      </c>
      <c r="G36" s="53">
        <v>146156</v>
      </c>
      <c r="H36" s="79">
        <v>141537</v>
      </c>
      <c r="I36" s="54">
        <v>9484</v>
      </c>
      <c r="J36" s="55">
        <v>6.7007213661445419</v>
      </c>
    </row>
    <row r="37" spans="1:12" ht="14.15" customHeight="1" x14ac:dyDescent="0.25">
      <c r="A37" s="42" t="s">
        <v>124</v>
      </c>
      <c r="B37" s="147"/>
      <c r="C37" s="148"/>
      <c r="D37" s="155"/>
      <c r="E37" s="156"/>
      <c r="F37" s="156"/>
      <c r="G37" s="156"/>
      <c r="H37" s="157"/>
      <c r="I37" s="149"/>
      <c r="J37" s="152"/>
    </row>
    <row r="38" spans="1:12" ht="14.15" customHeight="1" x14ac:dyDescent="0.25">
      <c r="A38" s="65" t="s">
        <v>98</v>
      </c>
      <c r="B38" s="43"/>
      <c r="C38" s="52">
        <v>100</v>
      </c>
      <c r="D38" s="158">
        <v>6340446</v>
      </c>
      <c r="E38" s="154">
        <v>6340342</v>
      </c>
      <c r="F38" s="154">
        <v>6382895</v>
      </c>
      <c r="G38" s="154">
        <v>6422497</v>
      </c>
      <c r="H38" s="159">
        <v>6368681</v>
      </c>
      <c r="I38" s="153">
        <v>-28235</v>
      </c>
      <c r="J38" s="55">
        <v>-0.44334140774204267</v>
      </c>
    </row>
    <row r="39" spans="1:12" ht="12" customHeight="1" x14ac:dyDescent="0.2">
      <c r="A39" s="57" t="s">
        <v>99</v>
      </c>
      <c r="B39" s="58" t="s">
        <v>100</v>
      </c>
      <c r="C39" s="52">
        <v>51.814462263380207</v>
      </c>
      <c r="D39" s="54">
        <v>3285268</v>
      </c>
      <c r="E39" s="53">
        <v>3278664</v>
      </c>
      <c r="F39" s="53">
        <v>3298170</v>
      </c>
      <c r="G39" s="53">
        <v>3324450</v>
      </c>
      <c r="H39" s="79">
        <v>3290619</v>
      </c>
      <c r="I39" s="54">
        <v>-5351</v>
      </c>
      <c r="J39" s="55">
        <v>-0.16261378178391361</v>
      </c>
    </row>
    <row r="40" spans="1:12" ht="12" customHeight="1" x14ac:dyDescent="0.2">
      <c r="A40" s="57"/>
      <c r="B40" s="58" t="s">
        <v>101</v>
      </c>
      <c r="C40" s="52">
        <v>48.185537736619793</v>
      </c>
      <c r="D40" s="54">
        <v>3055178</v>
      </c>
      <c r="E40" s="53">
        <v>3061678</v>
      </c>
      <c r="F40" s="53">
        <v>3084725</v>
      </c>
      <c r="G40" s="53">
        <v>3098047</v>
      </c>
      <c r="H40" s="79">
        <v>3078062</v>
      </c>
      <c r="I40" s="54">
        <v>-22884</v>
      </c>
      <c r="J40" s="55">
        <v>-0.74345481020200377</v>
      </c>
      <c r="L40" s="154"/>
    </row>
    <row r="41" spans="1:12" ht="12" customHeight="1" x14ac:dyDescent="0.2">
      <c r="A41" s="57" t="s">
        <v>99</v>
      </c>
      <c r="B41" s="60" t="s">
        <v>102</v>
      </c>
      <c r="C41" s="52">
        <v>9.0634633588867413</v>
      </c>
      <c r="D41" s="54">
        <v>574664</v>
      </c>
      <c r="E41" s="53">
        <v>587278</v>
      </c>
      <c r="F41" s="53">
        <v>608061</v>
      </c>
      <c r="G41" s="53">
        <v>617036</v>
      </c>
      <c r="H41" s="79">
        <v>567979</v>
      </c>
      <c r="I41" s="54">
        <v>6685</v>
      </c>
      <c r="J41" s="55">
        <v>1.1769801348289286</v>
      </c>
    </row>
    <row r="42" spans="1:12" ht="12" customHeight="1" x14ac:dyDescent="0.2">
      <c r="A42" s="57"/>
      <c r="B42" s="60" t="s">
        <v>103</v>
      </c>
      <c r="C42" s="52">
        <v>66.233731822650967</v>
      </c>
      <c r="D42" s="54">
        <v>4199514</v>
      </c>
      <c r="E42" s="53">
        <v>4196176</v>
      </c>
      <c r="F42" s="53">
        <v>4207636</v>
      </c>
      <c r="G42" s="53">
        <v>4233356</v>
      </c>
      <c r="H42" s="79">
        <v>4228677</v>
      </c>
      <c r="I42" s="54">
        <v>-29163</v>
      </c>
      <c r="J42" s="55">
        <v>-0.68964832263140452</v>
      </c>
    </row>
    <row r="43" spans="1:12" ht="12" customHeight="1" x14ac:dyDescent="0.2">
      <c r="A43" s="57"/>
      <c r="B43" s="60" t="s">
        <v>104</v>
      </c>
      <c r="C43" s="52">
        <v>22.890929123913367</v>
      </c>
      <c r="D43" s="54">
        <v>1451387</v>
      </c>
      <c r="E43" s="53">
        <v>1446511</v>
      </c>
      <c r="F43" s="53">
        <v>1457672</v>
      </c>
      <c r="G43" s="53">
        <v>1466080</v>
      </c>
      <c r="H43" s="79">
        <v>1469473</v>
      </c>
      <c r="I43" s="54">
        <v>-18086</v>
      </c>
      <c r="J43" s="55">
        <v>-1.2307813753638208</v>
      </c>
    </row>
    <row r="44" spans="1:12" ht="12" customHeight="1" x14ac:dyDescent="0.2">
      <c r="A44" s="59"/>
      <c r="B44" s="60" t="s">
        <v>105</v>
      </c>
      <c r="C44" s="52">
        <v>1.8118756945489323</v>
      </c>
      <c r="D44" s="54">
        <v>114881</v>
      </c>
      <c r="E44" s="53">
        <v>110377</v>
      </c>
      <c r="F44" s="53">
        <v>109526</v>
      </c>
      <c r="G44" s="53">
        <v>106025</v>
      </c>
      <c r="H44" s="79">
        <v>102552</v>
      </c>
      <c r="I44" s="54">
        <v>12329</v>
      </c>
      <c r="J44" s="55">
        <v>12.022193618847023</v>
      </c>
    </row>
    <row r="45" spans="1:12" ht="12" customHeight="1" x14ac:dyDescent="0.2">
      <c r="A45" s="59"/>
      <c r="B45" s="60" t="s">
        <v>106</v>
      </c>
      <c r="C45" s="52">
        <v>0.79603232958690917</v>
      </c>
      <c r="D45" s="54">
        <v>50472</v>
      </c>
      <c r="E45" s="53">
        <v>48966</v>
      </c>
      <c r="F45" s="53">
        <v>43781</v>
      </c>
      <c r="G45" s="53">
        <v>42861</v>
      </c>
      <c r="H45" s="79">
        <v>40914</v>
      </c>
      <c r="I45" s="54">
        <v>9558</v>
      </c>
      <c r="J45" s="55">
        <v>23.361196656401233</v>
      </c>
    </row>
    <row r="46" spans="1:12" ht="12" customHeight="1" x14ac:dyDescent="0.2">
      <c r="A46" s="57" t="s">
        <v>107</v>
      </c>
      <c r="B46" s="58" t="s">
        <v>177</v>
      </c>
      <c r="C46" s="52">
        <v>66.036490177504859</v>
      </c>
      <c r="D46" s="54">
        <v>4187008</v>
      </c>
      <c r="E46" s="53">
        <v>4202332</v>
      </c>
      <c r="F46" s="53">
        <v>4241046</v>
      </c>
      <c r="G46" s="53">
        <v>4279272</v>
      </c>
      <c r="H46" s="79">
        <v>4242927</v>
      </c>
      <c r="I46" s="54">
        <v>-55919</v>
      </c>
      <c r="J46" s="55">
        <v>-1.317934529630135</v>
      </c>
    </row>
    <row r="47" spans="1:12" ht="12" customHeight="1" x14ac:dyDescent="0.2">
      <c r="A47" s="57"/>
      <c r="B47" s="58" t="s">
        <v>178</v>
      </c>
      <c r="C47" s="52">
        <v>33.963430963689305</v>
      </c>
      <c r="D47" s="54">
        <v>2153433</v>
      </c>
      <c r="E47" s="53">
        <v>2138005</v>
      </c>
      <c r="F47" s="53">
        <v>2141848</v>
      </c>
      <c r="G47" s="53">
        <v>2143224</v>
      </c>
      <c r="H47" s="79">
        <v>2125754</v>
      </c>
      <c r="I47" s="54">
        <v>27679</v>
      </c>
      <c r="J47" s="55">
        <v>1.3020791681445736</v>
      </c>
    </row>
    <row r="48" spans="1:12" ht="12" customHeight="1" x14ac:dyDescent="0.2">
      <c r="A48" s="57" t="s">
        <v>107</v>
      </c>
      <c r="B48" s="58" t="s">
        <v>110</v>
      </c>
      <c r="C48" s="52">
        <v>86.851634727273122</v>
      </c>
      <c r="D48" s="54">
        <v>5506781</v>
      </c>
      <c r="E48" s="53">
        <v>5525860</v>
      </c>
      <c r="F48" s="53">
        <v>5576328</v>
      </c>
      <c r="G48" s="53">
        <v>5620686</v>
      </c>
      <c r="H48" s="79">
        <v>5584698</v>
      </c>
      <c r="I48" s="54">
        <v>-77917</v>
      </c>
      <c r="J48" s="55">
        <v>-1.3951873494323239</v>
      </c>
    </row>
    <row r="49" spans="1:12" ht="12" customHeight="1" x14ac:dyDescent="0.2">
      <c r="A49" s="57"/>
      <c r="B49" s="58" t="s">
        <v>111</v>
      </c>
      <c r="C49" s="52">
        <v>13.14751359762389</v>
      </c>
      <c r="D49" s="54">
        <v>833611</v>
      </c>
      <c r="E49" s="53">
        <v>814404</v>
      </c>
      <c r="F49" s="53">
        <v>806480</v>
      </c>
      <c r="G49" s="53">
        <v>801722</v>
      </c>
      <c r="H49" s="79">
        <v>783882</v>
      </c>
      <c r="I49" s="54">
        <v>49729</v>
      </c>
      <c r="J49" s="55">
        <v>6.3439395215096148</v>
      </c>
    </row>
    <row r="50" spans="1:12" ht="14.15" customHeight="1" x14ac:dyDescent="0.25">
      <c r="A50" s="42" t="s">
        <v>125</v>
      </c>
      <c r="B50" s="147"/>
      <c r="C50" s="148"/>
      <c r="D50" s="155"/>
      <c r="E50" s="156"/>
      <c r="F50" s="156"/>
      <c r="G50" s="156"/>
      <c r="H50" s="157"/>
      <c r="I50" s="149"/>
      <c r="J50" s="152"/>
    </row>
    <row r="51" spans="1:12" ht="14.15" customHeight="1" x14ac:dyDescent="0.25">
      <c r="A51" s="65" t="s">
        <v>98</v>
      </c>
      <c r="B51" s="43"/>
      <c r="C51" s="52">
        <v>100</v>
      </c>
      <c r="D51" s="158">
        <v>34885488</v>
      </c>
      <c r="E51" s="154">
        <v>34887706</v>
      </c>
      <c r="F51" s="154">
        <v>35018375</v>
      </c>
      <c r="G51" s="154">
        <v>35220294</v>
      </c>
      <c r="H51" s="159">
        <v>34837102</v>
      </c>
      <c r="I51" s="153">
        <v>48386</v>
      </c>
      <c r="J51" s="55">
        <v>0.13889215009905245</v>
      </c>
    </row>
    <row r="52" spans="1:12" ht="12" customHeight="1" x14ac:dyDescent="0.2">
      <c r="A52" s="57" t="s">
        <v>99</v>
      </c>
      <c r="B52" s="58" t="s">
        <v>100</v>
      </c>
      <c r="C52" s="52">
        <v>53.488854735241198</v>
      </c>
      <c r="D52" s="54">
        <v>18659848</v>
      </c>
      <c r="E52" s="53">
        <v>18640170</v>
      </c>
      <c r="F52" s="53">
        <v>18707512</v>
      </c>
      <c r="G52" s="53">
        <v>18878870</v>
      </c>
      <c r="H52" s="79">
        <v>18660647</v>
      </c>
      <c r="I52" s="54">
        <v>-799</v>
      </c>
      <c r="J52" s="55">
        <v>-4.2817379268789554E-3</v>
      </c>
    </row>
    <row r="53" spans="1:12" ht="12" customHeight="1" x14ac:dyDescent="0.2">
      <c r="A53" s="57"/>
      <c r="B53" s="58" t="s">
        <v>101</v>
      </c>
      <c r="C53" s="52">
        <v>46.511145264758802</v>
      </c>
      <c r="D53" s="54">
        <v>16225640</v>
      </c>
      <c r="E53" s="53">
        <v>16247536</v>
      </c>
      <c r="F53" s="53">
        <v>16310863</v>
      </c>
      <c r="G53" s="53">
        <v>16341424</v>
      </c>
      <c r="H53" s="79">
        <v>16176455</v>
      </c>
      <c r="I53" s="54">
        <v>49185</v>
      </c>
      <c r="J53" s="55">
        <v>0.30405302026927405</v>
      </c>
    </row>
    <row r="54" spans="1:12" ht="12" customHeight="1" x14ac:dyDescent="0.2">
      <c r="A54" s="57" t="s">
        <v>99</v>
      </c>
      <c r="B54" s="60" t="s">
        <v>102</v>
      </c>
      <c r="C54" s="52">
        <v>9.4941856625310788</v>
      </c>
      <c r="D54" s="54">
        <v>3312093</v>
      </c>
      <c r="E54" s="53">
        <v>3404157</v>
      </c>
      <c r="F54" s="53">
        <v>3530165</v>
      </c>
      <c r="G54" s="53">
        <v>3610469</v>
      </c>
      <c r="H54" s="79">
        <v>3330867</v>
      </c>
      <c r="I54" s="54">
        <v>-18774</v>
      </c>
      <c r="J54" s="55">
        <v>-0.56363703504222773</v>
      </c>
    </row>
    <row r="55" spans="1:12" ht="12" customHeight="1" x14ac:dyDescent="0.2">
      <c r="A55" s="57"/>
      <c r="B55" s="60" t="s">
        <v>103</v>
      </c>
      <c r="C55" s="52">
        <v>65.915758438007231</v>
      </c>
      <c r="D55" s="54">
        <v>22995034</v>
      </c>
      <c r="E55" s="53">
        <v>22969743</v>
      </c>
      <c r="F55" s="53">
        <v>22977613</v>
      </c>
      <c r="G55" s="53">
        <v>23107380</v>
      </c>
      <c r="H55" s="79">
        <v>23040098</v>
      </c>
      <c r="I55" s="54">
        <v>-45064</v>
      </c>
      <c r="J55" s="55">
        <v>-0.19558944584350293</v>
      </c>
    </row>
    <row r="56" spans="1:12" ht="12" customHeight="1" x14ac:dyDescent="0.2">
      <c r="A56" s="57"/>
      <c r="B56" s="60" t="s">
        <v>104</v>
      </c>
      <c r="C56" s="52">
        <v>22.523815633595266</v>
      </c>
      <c r="D56" s="54">
        <v>7857543</v>
      </c>
      <c r="E56" s="53">
        <v>7821575</v>
      </c>
      <c r="F56" s="53">
        <v>7838209</v>
      </c>
      <c r="G56" s="53">
        <v>7852663</v>
      </c>
      <c r="H56" s="79">
        <v>7834670</v>
      </c>
      <c r="I56" s="54">
        <v>22873</v>
      </c>
      <c r="J56" s="55">
        <v>0.29194592752470749</v>
      </c>
    </row>
    <row r="57" spans="1:12" ht="12" customHeight="1" x14ac:dyDescent="0.2">
      <c r="A57" s="59"/>
      <c r="B57" s="60" t="s">
        <v>105</v>
      </c>
      <c r="C57" s="52">
        <v>2.0662316663020452</v>
      </c>
      <c r="D57" s="54">
        <v>720815</v>
      </c>
      <c r="E57" s="53">
        <v>692228</v>
      </c>
      <c r="F57" s="53">
        <v>672387</v>
      </c>
      <c r="G57" s="53">
        <v>649780</v>
      </c>
      <c r="H57" s="79">
        <v>631466</v>
      </c>
      <c r="I57" s="54">
        <v>89349</v>
      </c>
      <c r="J57" s="55">
        <v>14.149455394273009</v>
      </c>
    </row>
    <row r="58" spans="1:12" ht="12" customHeight="1" x14ac:dyDescent="0.2">
      <c r="A58" s="59"/>
      <c r="B58" s="60" t="s">
        <v>106</v>
      </c>
      <c r="C58" s="52">
        <v>0.89382725561987264</v>
      </c>
      <c r="D58" s="54">
        <v>311816</v>
      </c>
      <c r="E58" s="53">
        <v>302788</v>
      </c>
      <c r="F58" s="53">
        <v>262742</v>
      </c>
      <c r="G58" s="53">
        <v>257371</v>
      </c>
      <c r="H58" s="79">
        <v>247956</v>
      </c>
      <c r="I58" s="54">
        <v>63860</v>
      </c>
      <c r="J58" s="55">
        <v>25.754569359079838</v>
      </c>
    </row>
    <row r="59" spans="1:12" ht="12" customHeight="1" x14ac:dyDescent="0.2">
      <c r="A59" s="57" t="s">
        <v>107</v>
      </c>
      <c r="B59" s="58" t="s">
        <v>177</v>
      </c>
      <c r="C59" s="52">
        <v>68.867773900711953</v>
      </c>
      <c r="D59" s="54">
        <v>24024859</v>
      </c>
      <c r="E59" s="53">
        <v>24107647</v>
      </c>
      <c r="F59" s="53">
        <v>24248794</v>
      </c>
      <c r="G59" s="53">
        <v>24494262</v>
      </c>
      <c r="H59" s="79">
        <v>24192893</v>
      </c>
      <c r="I59" s="54">
        <v>-168034</v>
      </c>
      <c r="J59" s="55">
        <v>-0.69455934848304413</v>
      </c>
    </row>
    <row r="60" spans="1:12" ht="12" customHeight="1" x14ac:dyDescent="0.2">
      <c r="A60" s="57"/>
      <c r="B60" s="58" t="s">
        <v>178</v>
      </c>
      <c r="C60" s="52">
        <v>31.132206033637825</v>
      </c>
      <c r="D60" s="54">
        <v>10860622</v>
      </c>
      <c r="E60" s="53">
        <v>10780051</v>
      </c>
      <c r="F60" s="53">
        <v>10769577</v>
      </c>
      <c r="G60" s="53">
        <v>10726028</v>
      </c>
      <c r="H60" s="79">
        <v>10644209</v>
      </c>
      <c r="I60" s="54">
        <v>216413</v>
      </c>
      <c r="J60" s="55">
        <v>2.0331524869532345</v>
      </c>
      <c r="L60" s="154"/>
    </row>
    <row r="61" spans="1:12" ht="12" customHeight="1" x14ac:dyDescent="0.2">
      <c r="A61" s="57" t="s">
        <v>107</v>
      </c>
      <c r="B61" s="58" t="s">
        <v>110</v>
      </c>
      <c r="C61" s="52">
        <v>83.265307912562378</v>
      </c>
      <c r="D61" s="54">
        <v>29047509</v>
      </c>
      <c r="E61" s="53">
        <v>29151408</v>
      </c>
      <c r="F61" s="53">
        <v>29352342</v>
      </c>
      <c r="G61" s="53">
        <v>29516292</v>
      </c>
      <c r="H61" s="79">
        <v>29258034</v>
      </c>
      <c r="I61" s="54">
        <v>-210525</v>
      </c>
      <c r="J61" s="55">
        <v>-0.71954595445476621</v>
      </c>
    </row>
    <row r="62" spans="1:12" ht="12" customHeight="1" x14ac:dyDescent="0.2">
      <c r="A62" s="57"/>
      <c r="B62" s="58" t="s">
        <v>111</v>
      </c>
      <c r="C62" s="52">
        <v>16.734511496585629</v>
      </c>
      <c r="D62" s="54">
        <v>5837916</v>
      </c>
      <c r="E62" s="53">
        <v>5736211</v>
      </c>
      <c r="F62" s="53">
        <v>5665936</v>
      </c>
      <c r="G62" s="53">
        <v>5703903</v>
      </c>
      <c r="H62" s="79">
        <v>5578959</v>
      </c>
      <c r="I62" s="54">
        <v>258957</v>
      </c>
      <c r="J62" s="55">
        <v>4.6416723980226422</v>
      </c>
    </row>
    <row r="63" spans="1:12" ht="14.15" customHeight="1" x14ac:dyDescent="0.25">
      <c r="A63" s="42" t="s">
        <v>179</v>
      </c>
      <c r="B63" s="147"/>
      <c r="C63" s="148"/>
      <c r="D63" s="155"/>
      <c r="E63" s="156"/>
      <c r="F63" s="156"/>
      <c r="G63" s="156"/>
      <c r="H63" s="157"/>
      <c r="I63" s="149"/>
      <c r="J63" s="152"/>
    </row>
    <row r="64" spans="1:12" ht="14.15" customHeight="1" x14ac:dyDescent="0.25">
      <c r="A64" s="65" t="s">
        <v>98</v>
      </c>
      <c r="B64" s="43"/>
      <c r="C64" s="52">
        <v>100</v>
      </c>
      <c r="D64" s="158">
        <v>89833</v>
      </c>
      <c r="E64" s="154">
        <v>89771</v>
      </c>
      <c r="F64" s="154">
        <v>90769</v>
      </c>
      <c r="G64" s="154">
        <v>91685</v>
      </c>
      <c r="H64" s="79">
        <v>90696</v>
      </c>
      <c r="I64" s="54">
        <v>-863</v>
      </c>
      <c r="J64" s="55">
        <v>-0.95153038722766159</v>
      </c>
    </row>
    <row r="65" spans="1:12" ht="12" customHeight="1" x14ac:dyDescent="0.2">
      <c r="A65" s="57" t="s">
        <v>99</v>
      </c>
      <c r="B65" s="58" t="s">
        <v>100</v>
      </c>
      <c r="C65" s="52">
        <v>51.743791257110416</v>
      </c>
      <c r="D65" s="153">
        <v>46483</v>
      </c>
      <c r="E65" s="154">
        <v>46264</v>
      </c>
      <c r="F65" s="154">
        <v>46764</v>
      </c>
      <c r="G65" s="154">
        <v>47358</v>
      </c>
      <c r="H65" s="79">
        <v>46746</v>
      </c>
      <c r="I65" s="54">
        <v>-263</v>
      </c>
      <c r="J65" s="55">
        <v>-0.56261498310015834</v>
      </c>
    </row>
    <row r="66" spans="1:12" ht="12" customHeight="1" x14ac:dyDescent="0.2">
      <c r="A66" s="57"/>
      <c r="B66" s="58" t="s">
        <v>101</v>
      </c>
      <c r="C66" s="52">
        <v>48.256208742889584</v>
      </c>
      <c r="D66" s="153">
        <v>43350</v>
      </c>
      <c r="E66" s="154">
        <v>43507</v>
      </c>
      <c r="F66" s="154">
        <v>44005</v>
      </c>
      <c r="G66" s="154">
        <v>44327</v>
      </c>
      <c r="H66" s="79">
        <v>43950</v>
      </c>
      <c r="I66" s="54">
        <v>-600</v>
      </c>
      <c r="J66" s="55">
        <v>-1.3651877133105803</v>
      </c>
    </row>
    <row r="67" spans="1:12" ht="12" customHeight="1" x14ac:dyDescent="0.2">
      <c r="A67" s="57" t="s">
        <v>99</v>
      </c>
      <c r="B67" s="60" t="s">
        <v>102</v>
      </c>
      <c r="C67" s="52">
        <v>8.9699776251488874</v>
      </c>
      <c r="D67" s="153">
        <v>8058</v>
      </c>
      <c r="E67" s="154">
        <v>8287</v>
      </c>
      <c r="F67" s="154">
        <v>8632</v>
      </c>
      <c r="G67" s="154">
        <v>8896</v>
      </c>
      <c r="H67" s="79">
        <v>7849</v>
      </c>
      <c r="I67" s="54">
        <v>209</v>
      </c>
      <c r="J67" s="55">
        <v>2.6627595872085617</v>
      </c>
    </row>
    <row r="68" spans="1:12" ht="12" customHeight="1" x14ac:dyDescent="0.2">
      <c r="A68" s="57"/>
      <c r="B68" s="60" t="s">
        <v>103</v>
      </c>
      <c r="C68" s="52">
        <v>62.01729876548707</v>
      </c>
      <c r="D68" s="153">
        <v>55712</v>
      </c>
      <c r="E68" s="154">
        <v>55697</v>
      </c>
      <c r="F68" s="154">
        <v>55997</v>
      </c>
      <c r="G68" s="154">
        <v>56446</v>
      </c>
      <c r="H68" s="79">
        <v>56334</v>
      </c>
      <c r="I68" s="54">
        <v>-622</v>
      </c>
      <c r="J68" s="55">
        <v>-1.1041289452195833</v>
      </c>
    </row>
    <row r="69" spans="1:12" ht="12" customHeight="1" x14ac:dyDescent="0.2">
      <c r="A69" s="57"/>
      <c r="B69" s="60" t="s">
        <v>104</v>
      </c>
      <c r="C69" s="52">
        <v>27.255017643850255</v>
      </c>
      <c r="D69" s="153">
        <v>24484</v>
      </c>
      <c r="E69" s="154">
        <v>24279</v>
      </c>
      <c r="F69" s="154">
        <v>24636</v>
      </c>
      <c r="G69" s="154">
        <v>24898</v>
      </c>
      <c r="H69" s="79">
        <v>25121</v>
      </c>
      <c r="I69" s="54">
        <v>-637</v>
      </c>
      <c r="J69" s="55">
        <v>-2.5357270809283068</v>
      </c>
    </row>
    <row r="70" spans="1:12" ht="12" customHeight="1" x14ac:dyDescent="0.2">
      <c r="A70" s="59"/>
      <c r="B70" s="60" t="s">
        <v>105</v>
      </c>
      <c r="C70" s="52">
        <v>1.7577059655137868</v>
      </c>
      <c r="D70" s="153">
        <v>1579</v>
      </c>
      <c r="E70" s="154">
        <v>1508</v>
      </c>
      <c r="F70" s="154">
        <v>1504</v>
      </c>
      <c r="G70" s="154">
        <v>1445</v>
      </c>
      <c r="H70" s="79">
        <v>1392</v>
      </c>
      <c r="I70" s="54">
        <v>187</v>
      </c>
      <c r="J70" s="55">
        <v>13.433908045977011</v>
      </c>
    </row>
    <row r="71" spans="1:12" ht="12" customHeight="1" x14ac:dyDescent="0.2">
      <c r="A71" s="59"/>
      <c r="B71" s="60" t="s">
        <v>106</v>
      </c>
      <c r="C71" s="52">
        <v>0.81150579408457912</v>
      </c>
      <c r="D71" s="153">
        <v>729</v>
      </c>
      <c r="E71" s="154">
        <v>694</v>
      </c>
      <c r="F71" s="154">
        <v>638</v>
      </c>
      <c r="G71" s="154">
        <v>619</v>
      </c>
      <c r="H71" s="79">
        <v>602</v>
      </c>
      <c r="I71" s="54">
        <v>127</v>
      </c>
      <c r="J71" s="55">
        <v>21.096345514950166</v>
      </c>
    </row>
    <row r="72" spans="1:12" ht="12" customHeight="1" x14ac:dyDescent="0.2">
      <c r="A72" s="57" t="s">
        <v>107</v>
      </c>
      <c r="B72" s="58" t="s">
        <v>177</v>
      </c>
      <c r="C72" s="52">
        <v>61.596517983369139</v>
      </c>
      <c r="D72" s="153">
        <v>55334</v>
      </c>
      <c r="E72" s="154">
        <v>55530</v>
      </c>
      <c r="F72" s="154">
        <v>56253</v>
      </c>
      <c r="G72" s="154">
        <v>57017</v>
      </c>
      <c r="H72" s="79">
        <v>56353</v>
      </c>
      <c r="I72" s="54">
        <v>-1019</v>
      </c>
      <c r="J72" s="55">
        <v>-1.8082444590350115</v>
      </c>
    </row>
    <row r="73" spans="1:12" ht="12" customHeight="1" x14ac:dyDescent="0.2">
      <c r="A73" s="57"/>
      <c r="B73" s="58" t="s">
        <v>178</v>
      </c>
      <c r="C73" s="52">
        <v>38.403482016630861</v>
      </c>
      <c r="D73" s="54">
        <v>34499</v>
      </c>
      <c r="E73" s="53">
        <v>34241</v>
      </c>
      <c r="F73" s="53">
        <v>34516</v>
      </c>
      <c r="G73" s="53">
        <v>34668</v>
      </c>
      <c r="H73" s="79">
        <v>34343</v>
      </c>
      <c r="I73" s="54">
        <v>156</v>
      </c>
      <c r="J73" s="55">
        <v>0.45424103893078649</v>
      </c>
    </row>
    <row r="74" spans="1:12" ht="12" customHeight="1" x14ac:dyDescent="0.2">
      <c r="A74" s="57" t="s">
        <v>107</v>
      </c>
      <c r="B74" s="58" t="s">
        <v>110</v>
      </c>
      <c r="C74" s="52">
        <v>92.509434172297489</v>
      </c>
      <c r="D74" s="54">
        <v>83104</v>
      </c>
      <c r="E74" s="53">
        <v>83267</v>
      </c>
      <c r="F74" s="53">
        <v>84355</v>
      </c>
      <c r="G74" s="53">
        <v>85229</v>
      </c>
      <c r="H74" s="79">
        <v>84492</v>
      </c>
      <c r="I74" s="54">
        <v>-1388</v>
      </c>
      <c r="J74" s="55">
        <v>-1.6427590777825118</v>
      </c>
    </row>
    <row r="75" spans="1:12" ht="12" customHeight="1" x14ac:dyDescent="0.2">
      <c r="A75" s="81"/>
      <c r="B75" s="63" t="s">
        <v>111</v>
      </c>
      <c r="C75" s="64">
        <v>7.4905658277025147</v>
      </c>
      <c r="D75" s="82">
        <v>6729</v>
      </c>
      <c r="E75" s="83">
        <v>6504</v>
      </c>
      <c r="F75" s="83">
        <v>6414</v>
      </c>
      <c r="G75" s="83">
        <v>6456</v>
      </c>
      <c r="H75" s="84">
        <v>6203</v>
      </c>
      <c r="I75" s="82">
        <v>526</v>
      </c>
      <c r="J75" s="85">
        <v>8.4797678542640664</v>
      </c>
    </row>
    <row r="76" spans="1:12" s="86" customFormat="1" ht="11.25" customHeight="1" x14ac:dyDescent="0.2">
      <c r="B76" s="87"/>
      <c r="C76" s="87"/>
      <c r="D76" s="87"/>
      <c r="E76" s="87"/>
      <c r="F76" s="87"/>
      <c r="G76" s="87"/>
      <c r="H76" s="87"/>
      <c r="I76" s="87"/>
      <c r="J76" s="88" t="s">
        <v>37</v>
      </c>
    </row>
    <row r="77" spans="1:12" s="86" customFormat="1" ht="12.75" customHeight="1" x14ac:dyDescent="0.2">
      <c r="A77" s="87" t="s">
        <v>116</v>
      </c>
      <c r="D77" s="89"/>
    </row>
    <row r="78" spans="1:12" s="86" customFormat="1" ht="21" customHeight="1" x14ac:dyDescent="0.2">
      <c r="A78" s="440" t="s">
        <v>180</v>
      </c>
      <c r="B78" s="441"/>
      <c r="C78" s="441"/>
      <c r="D78" s="441"/>
      <c r="E78" s="441"/>
      <c r="F78" s="441"/>
      <c r="G78" s="441"/>
      <c r="H78" s="441"/>
      <c r="I78" s="441"/>
      <c r="J78" s="441"/>
    </row>
    <row r="79" spans="1:12" s="60" customFormat="1" ht="12.75" customHeight="1" x14ac:dyDescent="0.2">
      <c r="A79" s="440"/>
      <c r="B79" s="441"/>
      <c r="C79" s="441"/>
      <c r="D79" s="441"/>
      <c r="E79" s="441"/>
      <c r="F79" s="441"/>
      <c r="G79" s="441"/>
      <c r="H79" s="441"/>
      <c r="I79" s="441"/>
      <c r="J79" s="441"/>
    </row>
    <row r="80" spans="1:12" s="60" customFormat="1" ht="12.75" customHeight="1" x14ac:dyDescent="0.2">
      <c r="A80" s="440"/>
      <c r="B80" s="441"/>
      <c r="C80" s="441"/>
      <c r="D80" s="441"/>
      <c r="E80" s="441"/>
      <c r="F80" s="441"/>
      <c r="G80" s="441"/>
      <c r="H80" s="441"/>
      <c r="I80" s="441"/>
      <c r="J80" s="441"/>
      <c r="K80" s="160"/>
      <c r="L80" s="160"/>
    </row>
    <row r="81" s="37" customFormat="1" ht="12.75" customHeight="1" x14ac:dyDescent="0.2"/>
    <row r="82" s="37" customFormat="1" ht="12.75" customHeight="1" x14ac:dyDescent="0.2"/>
    <row r="83" s="37" customFormat="1" ht="12.75" customHeight="1" x14ac:dyDescent="0.2"/>
    <row r="84" s="37" customFormat="1" ht="16" customHeight="1" x14ac:dyDescent="0.2"/>
    <row r="85" s="37" customFormat="1" ht="16" customHeight="1" x14ac:dyDescent="0.2"/>
    <row r="86" s="37" customFormat="1" ht="16" customHeight="1" x14ac:dyDescent="0.2"/>
    <row r="87" s="37" customFormat="1" ht="16" customHeight="1" x14ac:dyDescent="0.2"/>
    <row r="88" s="37" customFormat="1" ht="16" customHeight="1" x14ac:dyDescent="0.2"/>
    <row r="89" s="37" customFormat="1" ht="16" customHeight="1" x14ac:dyDescent="0.2"/>
    <row r="90" s="37" customFormat="1" ht="16" customHeight="1" x14ac:dyDescent="0.2"/>
    <row r="91" s="37" customFormat="1" ht="16" customHeight="1" x14ac:dyDescent="0.2"/>
    <row r="92" s="37" customFormat="1" ht="16" customHeight="1" x14ac:dyDescent="0.2"/>
    <row r="93" s="37" customFormat="1" ht="16" customHeight="1" x14ac:dyDescent="0.2"/>
    <row r="94" s="37" customFormat="1" ht="16" customHeight="1" x14ac:dyDescent="0.2"/>
    <row r="95" s="37" customFormat="1" ht="16" customHeight="1" x14ac:dyDescent="0.2"/>
    <row r="96" s="37" customFormat="1" ht="16" customHeight="1" x14ac:dyDescent="0.2"/>
    <row r="97" s="37" customFormat="1" ht="16" customHeight="1" x14ac:dyDescent="0.2"/>
    <row r="98" s="37" customFormat="1" ht="16" customHeight="1" x14ac:dyDescent="0.2"/>
    <row r="99" s="37" customFormat="1" ht="16" customHeight="1" x14ac:dyDescent="0.2"/>
    <row r="100" s="37" customFormat="1" ht="16" customHeight="1" x14ac:dyDescent="0.2"/>
    <row r="101" s="37" customFormat="1" ht="16" customHeight="1" x14ac:dyDescent="0.2"/>
    <row r="102" s="37" customFormat="1" ht="16" customHeight="1" x14ac:dyDescent="0.2"/>
    <row r="103" s="37" customFormat="1" ht="16" customHeight="1" x14ac:dyDescent="0.2"/>
    <row r="104" s="37" customFormat="1" ht="16" customHeight="1" x14ac:dyDescent="0.2"/>
    <row r="105" s="37" customFormat="1" ht="16" customHeight="1" x14ac:dyDescent="0.2"/>
    <row r="106" s="37" customFormat="1" ht="16" customHeight="1" x14ac:dyDescent="0.2"/>
    <row r="107" s="37" customFormat="1" ht="16" customHeight="1" x14ac:dyDescent="0.2"/>
    <row r="108" s="37" customFormat="1" ht="16" customHeight="1" x14ac:dyDescent="0.2"/>
    <row r="109" s="37" customFormat="1" ht="16" customHeight="1" x14ac:dyDescent="0.2"/>
    <row r="110" s="37" customFormat="1" ht="16" customHeight="1" x14ac:dyDescent="0.2"/>
    <row r="111" s="37" customFormat="1" ht="16" customHeight="1" x14ac:dyDescent="0.2"/>
    <row r="112" s="37" customFormat="1" ht="16" customHeight="1" x14ac:dyDescent="0.2"/>
    <row r="113" s="37" customFormat="1" ht="16" customHeight="1" x14ac:dyDescent="0.2"/>
    <row r="114" s="37" customFormat="1" ht="16" customHeight="1" x14ac:dyDescent="0.2"/>
    <row r="115" s="37" customFormat="1" ht="16" customHeight="1" x14ac:dyDescent="0.2"/>
    <row r="116" s="37" customFormat="1" ht="16" customHeight="1" x14ac:dyDescent="0.2"/>
    <row r="117" s="37" customFormat="1" ht="16" customHeight="1" x14ac:dyDescent="0.2"/>
    <row r="118" s="37" customFormat="1" ht="16" customHeight="1" x14ac:dyDescent="0.2"/>
    <row r="119" s="37" customFormat="1" ht="16" customHeight="1" x14ac:dyDescent="0.2"/>
    <row r="120" s="37" customFormat="1" ht="16" customHeight="1" x14ac:dyDescent="0.2"/>
    <row r="121" s="37" customFormat="1" ht="16" customHeight="1" x14ac:dyDescent="0.2"/>
    <row r="122" s="37" customFormat="1" ht="16" customHeight="1" x14ac:dyDescent="0.2"/>
    <row r="123" s="37" customFormat="1" ht="16" customHeight="1" x14ac:dyDescent="0.2"/>
    <row r="124" s="37" customFormat="1" ht="16" customHeight="1" x14ac:dyDescent="0.2"/>
    <row r="125" s="37" customFormat="1" ht="16" customHeight="1" x14ac:dyDescent="0.2"/>
    <row r="126" s="37" customFormat="1" ht="16" customHeight="1" x14ac:dyDescent="0.2"/>
    <row r="127" s="37" customFormat="1" ht="16" customHeight="1" x14ac:dyDescent="0.2"/>
    <row r="128" s="37" customFormat="1" ht="16" customHeight="1" x14ac:dyDescent="0.2"/>
    <row r="129" s="37" customFormat="1" ht="16" customHeight="1" x14ac:dyDescent="0.2"/>
    <row r="130" s="37" customFormat="1" ht="16" customHeight="1" x14ac:dyDescent="0.2"/>
    <row r="131" s="37" customFormat="1" ht="16" customHeight="1" x14ac:dyDescent="0.2"/>
    <row r="132" s="37" customFormat="1" ht="16" customHeight="1" x14ac:dyDescent="0.2"/>
    <row r="133" s="37" customFormat="1" ht="16" customHeight="1" x14ac:dyDescent="0.2"/>
    <row r="134" s="37" customFormat="1" ht="16" customHeight="1" x14ac:dyDescent="0.2"/>
    <row r="135" s="37" customFormat="1" ht="16" customHeight="1" x14ac:dyDescent="0.2"/>
    <row r="136" s="37" customFormat="1" ht="16" customHeight="1" x14ac:dyDescent="0.2"/>
    <row r="137" s="37" customFormat="1" ht="16" customHeight="1" x14ac:dyDescent="0.2"/>
    <row r="138" s="37" customFormat="1" ht="16" customHeight="1" x14ac:dyDescent="0.2"/>
    <row r="139" s="37" customFormat="1" ht="16" customHeight="1" x14ac:dyDescent="0.2"/>
    <row r="140" s="37" customFormat="1" ht="16" customHeight="1" x14ac:dyDescent="0.2"/>
    <row r="141" s="37" customFormat="1" ht="16" customHeight="1" x14ac:dyDescent="0.2"/>
    <row r="142" s="37" customFormat="1" ht="16" customHeight="1" x14ac:dyDescent="0.2"/>
    <row r="143" s="37" customFormat="1" ht="16" customHeight="1" x14ac:dyDescent="0.2"/>
    <row r="144" s="37" customFormat="1" ht="16" customHeight="1" x14ac:dyDescent="0.2"/>
    <row r="145" s="37" customFormat="1" ht="16" customHeight="1" x14ac:dyDescent="0.2"/>
    <row r="146" s="37" customFormat="1" ht="16" customHeight="1" x14ac:dyDescent="0.2"/>
    <row r="147" s="37" customFormat="1" ht="16" customHeight="1" x14ac:dyDescent="0.2"/>
    <row r="148" s="37" customFormat="1" ht="16" customHeight="1" x14ac:dyDescent="0.2"/>
    <row r="149" s="37" customFormat="1" ht="16" customHeight="1" x14ac:dyDescent="0.2"/>
    <row r="150" s="37" customFormat="1" ht="16" customHeight="1" x14ac:dyDescent="0.2"/>
    <row r="151" s="37" customFormat="1" ht="16" customHeight="1" x14ac:dyDescent="0.2"/>
    <row r="152" s="37" customFormat="1" ht="16" customHeight="1" x14ac:dyDescent="0.2"/>
    <row r="153" s="37" customFormat="1" ht="16" customHeight="1" x14ac:dyDescent="0.2"/>
    <row r="154" s="37" customFormat="1" ht="16" customHeight="1" x14ac:dyDescent="0.2"/>
    <row r="155" s="37" customFormat="1" ht="16" customHeight="1" x14ac:dyDescent="0.2"/>
    <row r="156" s="37" customFormat="1" ht="16" customHeight="1" x14ac:dyDescent="0.2"/>
    <row r="157" s="37" customFormat="1" ht="16" customHeight="1" x14ac:dyDescent="0.2"/>
    <row r="158" s="37" customFormat="1" ht="16" customHeight="1" x14ac:dyDescent="0.2"/>
    <row r="159" s="37" customFormat="1" ht="16" customHeight="1" x14ac:dyDescent="0.2"/>
    <row r="160" s="37" customFormat="1" ht="16" customHeight="1" x14ac:dyDescent="0.2"/>
    <row r="161" s="37" customFormat="1" ht="16" customHeight="1" x14ac:dyDescent="0.2"/>
    <row r="162" s="37" customFormat="1" ht="16" customHeight="1" x14ac:dyDescent="0.2"/>
    <row r="163" s="37" customFormat="1" ht="16" customHeight="1" x14ac:dyDescent="0.2"/>
    <row r="164" s="37" customFormat="1" ht="16" customHeight="1" x14ac:dyDescent="0.2"/>
    <row r="165" s="37" customFormat="1" ht="16" customHeight="1" x14ac:dyDescent="0.2"/>
    <row r="166" s="37" customFormat="1" ht="16" customHeight="1" x14ac:dyDescent="0.2"/>
    <row r="167" s="37" customFormat="1" ht="16" customHeight="1" x14ac:dyDescent="0.2"/>
    <row r="168" s="37" customFormat="1" ht="16" customHeight="1" x14ac:dyDescent="0.2"/>
    <row r="169" s="37" customFormat="1" ht="16" customHeight="1" x14ac:dyDescent="0.2"/>
    <row r="170" s="37" customFormat="1" ht="16" customHeight="1" x14ac:dyDescent="0.2"/>
    <row r="171" s="37" customFormat="1" ht="16" customHeight="1" x14ac:dyDescent="0.2"/>
    <row r="172" s="37" customFormat="1" ht="16" customHeight="1" x14ac:dyDescent="0.2"/>
    <row r="173" s="37" customFormat="1" ht="16" customHeight="1" x14ac:dyDescent="0.2"/>
    <row r="174" s="37" customFormat="1" ht="16" customHeight="1" x14ac:dyDescent="0.2"/>
    <row r="175" s="37" customFormat="1" ht="16" customHeight="1" x14ac:dyDescent="0.2"/>
    <row r="176" s="37" customFormat="1" ht="16" customHeight="1" x14ac:dyDescent="0.2"/>
    <row r="177" s="37" customFormat="1" ht="16" customHeight="1" x14ac:dyDescent="0.2"/>
    <row r="178" s="37" customFormat="1" ht="16" customHeight="1" x14ac:dyDescent="0.2"/>
    <row r="179" s="37" customFormat="1" ht="16" customHeight="1" x14ac:dyDescent="0.2"/>
    <row r="180" s="37" customFormat="1" ht="16" customHeight="1" x14ac:dyDescent="0.2"/>
    <row r="181" s="37" customFormat="1" ht="16" customHeight="1" x14ac:dyDescent="0.2"/>
    <row r="182" s="37" customFormat="1" ht="16" customHeight="1" x14ac:dyDescent="0.2"/>
    <row r="183" s="37" customFormat="1" ht="16" customHeight="1" x14ac:dyDescent="0.2"/>
    <row r="184" s="37" customFormat="1" ht="16" customHeight="1" x14ac:dyDescent="0.2"/>
    <row r="185" s="37" customFormat="1" ht="16" customHeight="1" x14ac:dyDescent="0.2"/>
    <row r="186" s="37" customFormat="1" ht="16" customHeight="1" x14ac:dyDescent="0.2"/>
    <row r="187" s="37" customFormat="1" ht="16" customHeight="1" x14ac:dyDescent="0.2"/>
    <row r="188" s="37" customFormat="1" ht="16" customHeight="1" x14ac:dyDescent="0.2"/>
    <row r="189" s="37" customFormat="1" ht="16" customHeight="1" x14ac:dyDescent="0.2"/>
    <row r="190" s="37" customFormat="1" ht="16" customHeight="1" x14ac:dyDescent="0.2"/>
    <row r="191" s="37" customFormat="1" ht="16" customHeight="1" x14ac:dyDescent="0.2"/>
    <row r="192" s="37" customFormat="1" ht="16" customHeight="1" x14ac:dyDescent="0.2"/>
    <row r="193" s="37" customFormat="1" ht="16" customHeight="1" x14ac:dyDescent="0.2"/>
    <row r="194" s="37" customFormat="1" ht="16" customHeight="1" x14ac:dyDescent="0.2"/>
    <row r="195" s="37" customFormat="1" ht="16" customHeight="1" x14ac:dyDescent="0.2"/>
    <row r="196" s="37" customFormat="1" ht="16" customHeight="1" x14ac:dyDescent="0.2"/>
    <row r="197" s="37" customFormat="1" ht="16" customHeight="1" x14ac:dyDescent="0.2"/>
    <row r="198" s="37" customFormat="1" ht="16" customHeight="1" x14ac:dyDescent="0.2"/>
    <row r="199" s="37" customFormat="1" ht="16" customHeight="1" x14ac:dyDescent="0.2"/>
    <row r="200" s="37" customFormat="1" ht="16" customHeight="1" x14ac:dyDescent="0.2"/>
  </sheetData>
  <mergeCells count="15">
    <mergeCell ref="A3:J3"/>
    <mergeCell ref="A4:J4"/>
    <mergeCell ref="A5:D5"/>
    <mergeCell ref="A7:B10"/>
    <mergeCell ref="C7:C10"/>
    <mergeCell ref="D7:H7"/>
    <mergeCell ref="I7:J8"/>
    <mergeCell ref="D8:D9"/>
    <mergeCell ref="E8:E9"/>
    <mergeCell ref="F8:F9"/>
    <mergeCell ref="G8:G9"/>
    <mergeCell ref="H8:H9"/>
    <mergeCell ref="A78:J78"/>
    <mergeCell ref="A79:J79"/>
    <mergeCell ref="A80:J80"/>
  </mergeCells>
  <printOptions horizontalCentered="1"/>
  <pageMargins left="0.7" right="0.7" top="0.75" bottom="0.75" header="0.3" footer="0.3"/>
  <pageSetup paperSize="9" scale="73"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79618-34B1-4E2B-B532-E10D0F91321B}">
  <sheetPr codeName="Tabelle10">
    <pageSetUpPr fitToPage="1"/>
  </sheetPr>
  <dimension ref="A1:Q863"/>
  <sheetViews>
    <sheetView showGridLines="0" zoomScaleNormal="100" workbookViewId="0"/>
  </sheetViews>
  <sheetFormatPr defaultColWidth="8.81640625" defaultRowHeight="16" customHeight="1" x14ac:dyDescent="0.2"/>
  <cols>
    <col min="1" max="1" width="3.54296875" style="37" customWidth="1"/>
    <col min="2" max="2" width="2.26953125" style="37" customWidth="1"/>
    <col min="3" max="3" width="6.7265625" style="37" customWidth="1"/>
    <col min="4" max="4" width="32.54296875" style="37" customWidth="1"/>
    <col min="5" max="5" width="5.7265625" style="61" customWidth="1"/>
    <col min="6" max="10" width="9.7265625" style="90" customWidth="1"/>
    <col min="11" max="11" width="9.7265625" style="74" customWidth="1"/>
    <col min="12" max="12" width="9.7265625" style="91" customWidth="1"/>
    <col min="13" max="256" width="8.81640625" style="37"/>
    <col min="257" max="258" width="3.7265625" style="37" customWidth="1"/>
    <col min="259" max="259" width="3.81640625" style="37" customWidth="1"/>
    <col min="260" max="260" width="26.26953125" style="37" customWidth="1"/>
    <col min="261" max="261" width="5.7265625" style="37" customWidth="1"/>
    <col min="262" max="268" width="9.54296875" style="37" customWidth="1"/>
    <col min="269" max="512" width="8.81640625" style="37"/>
    <col min="513" max="514" width="3.7265625" style="37" customWidth="1"/>
    <col min="515" max="515" width="3.81640625" style="37" customWidth="1"/>
    <col min="516" max="516" width="26.26953125" style="37" customWidth="1"/>
    <col min="517" max="517" width="5.7265625" style="37" customWidth="1"/>
    <col min="518" max="524" width="9.54296875" style="37" customWidth="1"/>
    <col min="525" max="768" width="8.81640625" style="37"/>
    <col min="769" max="770" width="3.7265625" style="37" customWidth="1"/>
    <col min="771" max="771" width="3.81640625" style="37" customWidth="1"/>
    <col min="772" max="772" width="26.26953125" style="37" customWidth="1"/>
    <col min="773" max="773" width="5.7265625" style="37" customWidth="1"/>
    <col min="774" max="780" width="9.54296875" style="37" customWidth="1"/>
    <col min="781" max="1024" width="8.81640625" style="37"/>
    <col min="1025" max="1026" width="3.7265625" style="37" customWidth="1"/>
    <col min="1027" max="1027" width="3.81640625" style="37" customWidth="1"/>
    <col min="1028" max="1028" width="26.26953125" style="37" customWidth="1"/>
    <col min="1029" max="1029" width="5.7265625" style="37" customWidth="1"/>
    <col min="1030" max="1036" width="9.54296875" style="37" customWidth="1"/>
    <col min="1037" max="1280" width="8.81640625" style="37"/>
    <col min="1281" max="1282" width="3.7265625" style="37" customWidth="1"/>
    <col min="1283" max="1283" width="3.81640625" style="37" customWidth="1"/>
    <col min="1284" max="1284" width="26.26953125" style="37" customWidth="1"/>
    <col min="1285" max="1285" width="5.7265625" style="37" customWidth="1"/>
    <col min="1286" max="1292" width="9.54296875" style="37" customWidth="1"/>
    <col min="1293" max="1536" width="8.81640625" style="37"/>
    <col min="1537" max="1538" width="3.7265625" style="37" customWidth="1"/>
    <col min="1539" max="1539" width="3.81640625" style="37" customWidth="1"/>
    <col min="1540" max="1540" width="26.26953125" style="37" customWidth="1"/>
    <col min="1541" max="1541" width="5.7265625" style="37" customWidth="1"/>
    <col min="1542" max="1548" width="9.54296875" style="37" customWidth="1"/>
    <col min="1549" max="1792" width="8.81640625" style="37"/>
    <col min="1793" max="1794" width="3.7265625" style="37" customWidth="1"/>
    <col min="1795" max="1795" width="3.81640625" style="37" customWidth="1"/>
    <col min="1796" max="1796" width="26.26953125" style="37" customWidth="1"/>
    <col min="1797" max="1797" width="5.7265625" style="37" customWidth="1"/>
    <col min="1798" max="1804" width="9.54296875" style="37" customWidth="1"/>
    <col min="1805" max="2048" width="8.81640625" style="37"/>
    <col min="2049" max="2050" width="3.7265625" style="37" customWidth="1"/>
    <col min="2051" max="2051" width="3.81640625" style="37" customWidth="1"/>
    <col min="2052" max="2052" width="26.26953125" style="37" customWidth="1"/>
    <col min="2053" max="2053" width="5.7265625" style="37" customWidth="1"/>
    <col min="2054" max="2060" width="9.54296875" style="37" customWidth="1"/>
    <col min="2061" max="2304" width="8.81640625" style="37"/>
    <col min="2305" max="2306" width="3.7265625" style="37" customWidth="1"/>
    <col min="2307" max="2307" width="3.81640625" style="37" customWidth="1"/>
    <col min="2308" max="2308" width="26.26953125" style="37" customWidth="1"/>
    <col min="2309" max="2309" width="5.7265625" style="37" customWidth="1"/>
    <col min="2310" max="2316" width="9.54296875" style="37" customWidth="1"/>
    <col min="2317" max="2560" width="8.81640625" style="37"/>
    <col min="2561" max="2562" width="3.7265625" style="37" customWidth="1"/>
    <col min="2563" max="2563" width="3.81640625" style="37" customWidth="1"/>
    <col min="2564" max="2564" width="26.26953125" style="37" customWidth="1"/>
    <col min="2565" max="2565" width="5.7265625" style="37" customWidth="1"/>
    <col min="2566" max="2572" width="9.54296875" style="37" customWidth="1"/>
    <col min="2573" max="2816" width="8.81640625" style="37"/>
    <col min="2817" max="2818" width="3.7265625" style="37" customWidth="1"/>
    <col min="2819" max="2819" width="3.81640625" style="37" customWidth="1"/>
    <col min="2820" max="2820" width="26.26953125" style="37" customWidth="1"/>
    <col min="2821" max="2821" width="5.7265625" style="37" customWidth="1"/>
    <col min="2822" max="2828" width="9.54296875" style="37" customWidth="1"/>
    <col min="2829" max="3072" width="8.81640625" style="37"/>
    <col min="3073" max="3074" width="3.7265625" style="37" customWidth="1"/>
    <col min="3075" max="3075" width="3.81640625" style="37" customWidth="1"/>
    <col min="3076" max="3076" width="26.26953125" style="37" customWidth="1"/>
    <col min="3077" max="3077" width="5.7265625" style="37" customWidth="1"/>
    <col min="3078" max="3084" width="9.54296875" style="37" customWidth="1"/>
    <col min="3085" max="3328" width="8.81640625" style="37"/>
    <col min="3329" max="3330" width="3.7265625" style="37" customWidth="1"/>
    <col min="3331" max="3331" width="3.81640625" style="37" customWidth="1"/>
    <col min="3332" max="3332" width="26.26953125" style="37" customWidth="1"/>
    <col min="3333" max="3333" width="5.7265625" style="37" customWidth="1"/>
    <col min="3334" max="3340" width="9.54296875" style="37" customWidth="1"/>
    <col min="3341" max="3584" width="8.81640625" style="37"/>
    <col min="3585" max="3586" width="3.7265625" style="37" customWidth="1"/>
    <col min="3587" max="3587" width="3.81640625" style="37" customWidth="1"/>
    <col min="3588" max="3588" width="26.26953125" style="37" customWidth="1"/>
    <col min="3589" max="3589" width="5.7265625" style="37" customWidth="1"/>
    <col min="3590" max="3596" width="9.54296875" style="37" customWidth="1"/>
    <col min="3597" max="3840" width="8.81640625" style="37"/>
    <col min="3841" max="3842" width="3.7265625" style="37" customWidth="1"/>
    <col min="3843" max="3843" width="3.81640625" style="37" customWidth="1"/>
    <col min="3844" max="3844" width="26.26953125" style="37" customWidth="1"/>
    <col min="3845" max="3845" width="5.7265625" style="37" customWidth="1"/>
    <col min="3846" max="3852" width="9.54296875" style="37" customWidth="1"/>
    <col min="3853" max="4096" width="8.81640625" style="37"/>
    <col min="4097" max="4098" width="3.7265625" style="37" customWidth="1"/>
    <col min="4099" max="4099" width="3.81640625" style="37" customWidth="1"/>
    <col min="4100" max="4100" width="26.26953125" style="37" customWidth="1"/>
    <col min="4101" max="4101" width="5.7265625" style="37" customWidth="1"/>
    <col min="4102" max="4108" width="9.54296875" style="37" customWidth="1"/>
    <col min="4109" max="4352" width="8.81640625" style="37"/>
    <col min="4353" max="4354" width="3.7265625" style="37" customWidth="1"/>
    <col min="4355" max="4355" width="3.81640625" style="37" customWidth="1"/>
    <col min="4356" max="4356" width="26.26953125" style="37" customWidth="1"/>
    <col min="4357" max="4357" width="5.7265625" style="37" customWidth="1"/>
    <col min="4358" max="4364" width="9.54296875" style="37" customWidth="1"/>
    <col min="4365" max="4608" width="8.81640625" style="37"/>
    <col min="4609" max="4610" width="3.7265625" style="37" customWidth="1"/>
    <col min="4611" max="4611" width="3.81640625" style="37" customWidth="1"/>
    <col min="4612" max="4612" width="26.26953125" style="37" customWidth="1"/>
    <col min="4613" max="4613" width="5.7265625" style="37" customWidth="1"/>
    <col min="4614" max="4620" width="9.54296875" style="37" customWidth="1"/>
    <col min="4621" max="4864" width="8.81640625" style="37"/>
    <col min="4865" max="4866" width="3.7265625" style="37" customWidth="1"/>
    <col min="4867" max="4867" width="3.81640625" style="37" customWidth="1"/>
    <col min="4868" max="4868" width="26.26953125" style="37" customWidth="1"/>
    <col min="4869" max="4869" width="5.7265625" style="37" customWidth="1"/>
    <col min="4870" max="4876" width="9.54296875" style="37" customWidth="1"/>
    <col min="4877" max="5120" width="8.81640625" style="37"/>
    <col min="5121" max="5122" width="3.7265625" style="37" customWidth="1"/>
    <col min="5123" max="5123" width="3.81640625" style="37" customWidth="1"/>
    <col min="5124" max="5124" width="26.26953125" style="37" customWidth="1"/>
    <col min="5125" max="5125" width="5.7265625" style="37" customWidth="1"/>
    <col min="5126" max="5132" width="9.54296875" style="37" customWidth="1"/>
    <col min="5133" max="5376" width="8.81640625" style="37"/>
    <col min="5377" max="5378" width="3.7265625" style="37" customWidth="1"/>
    <col min="5379" max="5379" width="3.81640625" style="37" customWidth="1"/>
    <col min="5380" max="5380" width="26.26953125" style="37" customWidth="1"/>
    <col min="5381" max="5381" width="5.7265625" style="37" customWidth="1"/>
    <col min="5382" max="5388" width="9.54296875" style="37" customWidth="1"/>
    <col min="5389" max="5632" width="8.81640625" style="37"/>
    <col min="5633" max="5634" width="3.7265625" style="37" customWidth="1"/>
    <col min="5635" max="5635" width="3.81640625" style="37" customWidth="1"/>
    <col min="5636" max="5636" width="26.26953125" style="37" customWidth="1"/>
    <col min="5637" max="5637" width="5.7265625" style="37" customWidth="1"/>
    <col min="5638" max="5644" width="9.54296875" style="37" customWidth="1"/>
    <col min="5645" max="5888" width="8.81640625" style="37"/>
    <col min="5889" max="5890" width="3.7265625" style="37" customWidth="1"/>
    <col min="5891" max="5891" width="3.81640625" style="37" customWidth="1"/>
    <col min="5892" max="5892" width="26.26953125" style="37" customWidth="1"/>
    <col min="5893" max="5893" width="5.7265625" style="37" customWidth="1"/>
    <col min="5894" max="5900" width="9.54296875" style="37" customWidth="1"/>
    <col min="5901" max="6144" width="8.81640625" style="37"/>
    <col min="6145" max="6146" width="3.7265625" style="37" customWidth="1"/>
    <col min="6147" max="6147" width="3.81640625" style="37" customWidth="1"/>
    <col min="6148" max="6148" width="26.26953125" style="37" customWidth="1"/>
    <col min="6149" max="6149" width="5.7265625" style="37" customWidth="1"/>
    <col min="6150" max="6156" width="9.54296875" style="37" customWidth="1"/>
    <col min="6157" max="6400" width="8.81640625" style="37"/>
    <col min="6401" max="6402" width="3.7265625" style="37" customWidth="1"/>
    <col min="6403" max="6403" width="3.81640625" style="37" customWidth="1"/>
    <col min="6404" max="6404" width="26.26953125" style="37" customWidth="1"/>
    <col min="6405" max="6405" width="5.7265625" style="37" customWidth="1"/>
    <col min="6406" max="6412" width="9.54296875" style="37" customWidth="1"/>
    <col min="6413" max="6656" width="8.81640625" style="37"/>
    <col min="6657" max="6658" width="3.7265625" style="37" customWidth="1"/>
    <col min="6659" max="6659" width="3.81640625" style="37" customWidth="1"/>
    <col min="6660" max="6660" width="26.26953125" style="37" customWidth="1"/>
    <col min="6661" max="6661" width="5.7265625" style="37" customWidth="1"/>
    <col min="6662" max="6668" width="9.54296875" style="37" customWidth="1"/>
    <col min="6669" max="6912" width="8.81640625" style="37"/>
    <col min="6913" max="6914" width="3.7265625" style="37" customWidth="1"/>
    <col min="6915" max="6915" width="3.81640625" style="37" customWidth="1"/>
    <col min="6916" max="6916" width="26.26953125" style="37" customWidth="1"/>
    <col min="6917" max="6917" width="5.7265625" style="37" customWidth="1"/>
    <col min="6918" max="6924" width="9.54296875" style="37" customWidth="1"/>
    <col min="6925" max="7168" width="8.81640625" style="37"/>
    <col min="7169" max="7170" width="3.7265625" style="37" customWidth="1"/>
    <col min="7171" max="7171" width="3.81640625" style="37" customWidth="1"/>
    <col min="7172" max="7172" width="26.26953125" style="37" customWidth="1"/>
    <col min="7173" max="7173" width="5.7265625" style="37" customWidth="1"/>
    <col min="7174" max="7180" width="9.54296875" style="37" customWidth="1"/>
    <col min="7181" max="7424" width="8.81640625" style="37"/>
    <col min="7425" max="7426" width="3.7265625" style="37" customWidth="1"/>
    <col min="7427" max="7427" width="3.81640625" style="37" customWidth="1"/>
    <col min="7428" max="7428" width="26.26953125" style="37" customWidth="1"/>
    <col min="7429" max="7429" width="5.7265625" style="37" customWidth="1"/>
    <col min="7430" max="7436" width="9.54296875" style="37" customWidth="1"/>
    <col min="7437" max="7680" width="8.81640625" style="37"/>
    <col min="7681" max="7682" width="3.7265625" style="37" customWidth="1"/>
    <col min="7683" max="7683" width="3.81640625" style="37" customWidth="1"/>
    <col min="7684" max="7684" width="26.26953125" style="37" customWidth="1"/>
    <col min="7685" max="7685" width="5.7265625" style="37" customWidth="1"/>
    <col min="7686" max="7692" width="9.54296875" style="37" customWidth="1"/>
    <col min="7693" max="7936" width="8.81640625" style="37"/>
    <col min="7937" max="7938" width="3.7265625" style="37" customWidth="1"/>
    <col min="7939" max="7939" width="3.81640625" style="37" customWidth="1"/>
    <col min="7940" max="7940" width="26.26953125" style="37" customWidth="1"/>
    <col min="7941" max="7941" width="5.7265625" style="37" customWidth="1"/>
    <col min="7942" max="7948" width="9.54296875" style="37" customWidth="1"/>
    <col min="7949" max="8192" width="8.81640625" style="37"/>
    <col min="8193" max="8194" width="3.7265625" style="37" customWidth="1"/>
    <col min="8195" max="8195" width="3.81640625" style="37" customWidth="1"/>
    <col min="8196" max="8196" width="26.26953125" style="37" customWidth="1"/>
    <col min="8197" max="8197" width="5.7265625" style="37" customWidth="1"/>
    <col min="8198" max="8204" width="9.54296875" style="37" customWidth="1"/>
    <col min="8205" max="8448" width="8.81640625" style="37"/>
    <col min="8449" max="8450" width="3.7265625" style="37" customWidth="1"/>
    <col min="8451" max="8451" width="3.81640625" style="37" customWidth="1"/>
    <col min="8452" max="8452" width="26.26953125" style="37" customWidth="1"/>
    <col min="8453" max="8453" width="5.7265625" style="37" customWidth="1"/>
    <col min="8454" max="8460" width="9.54296875" style="37" customWidth="1"/>
    <col min="8461" max="8704" width="8.81640625" style="37"/>
    <col min="8705" max="8706" width="3.7265625" style="37" customWidth="1"/>
    <col min="8707" max="8707" width="3.81640625" style="37" customWidth="1"/>
    <col min="8708" max="8708" width="26.26953125" style="37" customWidth="1"/>
    <col min="8709" max="8709" width="5.7265625" style="37" customWidth="1"/>
    <col min="8710" max="8716" width="9.54296875" style="37" customWidth="1"/>
    <col min="8717" max="8960" width="8.81640625" style="37"/>
    <col min="8961" max="8962" width="3.7265625" style="37" customWidth="1"/>
    <col min="8963" max="8963" width="3.81640625" style="37" customWidth="1"/>
    <col min="8964" max="8964" width="26.26953125" style="37" customWidth="1"/>
    <col min="8965" max="8965" width="5.7265625" style="37" customWidth="1"/>
    <col min="8966" max="8972" width="9.54296875" style="37" customWidth="1"/>
    <col min="8973" max="9216" width="8.81640625" style="37"/>
    <col min="9217" max="9218" width="3.7265625" style="37" customWidth="1"/>
    <col min="9219" max="9219" width="3.81640625" style="37" customWidth="1"/>
    <col min="9220" max="9220" width="26.26953125" style="37" customWidth="1"/>
    <col min="9221" max="9221" width="5.7265625" style="37" customWidth="1"/>
    <col min="9222" max="9228" width="9.54296875" style="37" customWidth="1"/>
    <col min="9229" max="9472" width="8.81640625" style="37"/>
    <col min="9473" max="9474" width="3.7265625" style="37" customWidth="1"/>
    <col min="9475" max="9475" width="3.81640625" style="37" customWidth="1"/>
    <col min="9476" max="9476" width="26.26953125" style="37" customWidth="1"/>
    <col min="9477" max="9477" width="5.7265625" style="37" customWidth="1"/>
    <col min="9478" max="9484" width="9.54296875" style="37" customWidth="1"/>
    <col min="9485" max="9728" width="8.81640625" style="37"/>
    <col min="9729" max="9730" width="3.7265625" style="37" customWidth="1"/>
    <col min="9731" max="9731" width="3.81640625" style="37" customWidth="1"/>
    <col min="9732" max="9732" width="26.26953125" style="37" customWidth="1"/>
    <col min="9733" max="9733" width="5.7265625" style="37" customWidth="1"/>
    <col min="9734" max="9740" width="9.54296875" style="37" customWidth="1"/>
    <col min="9741" max="9984" width="8.81640625" style="37"/>
    <col min="9985" max="9986" width="3.7265625" style="37" customWidth="1"/>
    <col min="9987" max="9987" width="3.81640625" style="37" customWidth="1"/>
    <col min="9988" max="9988" width="26.26953125" style="37" customWidth="1"/>
    <col min="9989" max="9989" width="5.7265625" style="37" customWidth="1"/>
    <col min="9990" max="9996" width="9.54296875" style="37" customWidth="1"/>
    <col min="9997" max="10240" width="8.81640625" style="37"/>
    <col min="10241" max="10242" width="3.7265625" style="37" customWidth="1"/>
    <col min="10243" max="10243" width="3.81640625" style="37" customWidth="1"/>
    <col min="10244" max="10244" width="26.26953125" style="37" customWidth="1"/>
    <col min="10245" max="10245" width="5.7265625" style="37" customWidth="1"/>
    <col min="10246" max="10252" width="9.54296875" style="37" customWidth="1"/>
    <col min="10253" max="10496" width="8.81640625" style="37"/>
    <col min="10497" max="10498" width="3.7265625" style="37" customWidth="1"/>
    <col min="10499" max="10499" width="3.81640625" style="37" customWidth="1"/>
    <col min="10500" max="10500" width="26.26953125" style="37" customWidth="1"/>
    <col min="10501" max="10501" width="5.7265625" style="37" customWidth="1"/>
    <col min="10502" max="10508" width="9.54296875" style="37" customWidth="1"/>
    <col min="10509" max="10752" width="8.81640625" style="37"/>
    <col min="10753" max="10754" width="3.7265625" style="37" customWidth="1"/>
    <col min="10755" max="10755" width="3.81640625" style="37" customWidth="1"/>
    <col min="10756" max="10756" width="26.26953125" style="37" customWidth="1"/>
    <col min="10757" max="10757" width="5.7265625" style="37" customWidth="1"/>
    <col min="10758" max="10764" width="9.54296875" style="37" customWidth="1"/>
    <col min="10765" max="11008" width="8.81640625" style="37"/>
    <col min="11009" max="11010" width="3.7265625" style="37" customWidth="1"/>
    <col min="11011" max="11011" width="3.81640625" style="37" customWidth="1"/>
    <col min="11012" max="11012" width="26.26953125" style="37" customWidth="1"/>
    <col min="11013" max="11013" width="5.7265625" style="37" customWidth="1"/>
    <col min="11014" max="11020" width="9.54296875" style="37" customWidth="1"/>
    <col min="11021" max="11264" width="8.81640625" style="37"/>
    <col min="11265" max="11266" width="3.7265625" style="37" customWidth="1"/>
    <col min="11267" max="11267" width="3.81640625" style="37" customWidth="1"/>
    <col min="11268" max="11268" width="26.26953125" style="37" customWidth="1"/>
    <col min="11269" max="11269" width="5.7265625" style="37" customWidth="1"/>
    <col min="11270" max="11276" width="9.54296875" style="37" customWidth="1"/>
    <col min="11277" max="11520" width="8.81640625" style="37"/>
    <col min="11521" max="11522" width="3.7265625" style="37" customWidth="1"/>
    <col min="11523" max="11523" width="3.81640625" style="37" customWidth="1"/>
    <col min="11524" max="11524" width="26.26953125" style="37" customWidth="1"/>
    <col min="11525" max="11525" width="5.7265625" style="37" customWidth="1"/>
    <col min="11526" max="11532" width="9.54296875" style="37" customWidth="1"/>
    <col min="11533" max="11776" width="8.81640625" style="37"/>
    <col min="11777" max="11778" width="3.7265625" style="37" customWidth="1"/>
    <col min="11779" max="11779" width="3.81640625" style="37" customWidth="1"/>
    <col min="11780" max="11780" width="26.26953125" style="37" customWidth="1"/>
    <col min="11781" max="11781" width="5.7265625" style="37" customWidth="1"/>
    <col min="11782" max="11788" width="9.54296875" style="37" customWidth="1"/>
    <col min="11789" max="12032" width="8.81640625" style="37"/>
    <col min="12033" max="12034" width="3.7265625" style="37" customWidth="1"/>
    <col min="12035" max="12035" width="3.81640625" style="37" customWidth="1"/>
    <col min="12036" max="12036" width="26.26953125" style="37" customWidth="1"/>
    <col min="12037" max="12037" width="5.7265625" style="37" customWidth="1"/>
    <col min="12038" max="12044" width="9.54296875" style="37" customWidth="1"/>
    <col min="12045" max="12288" width="8.81640625" style="37"/>
    <col min="12289" max="12290" width="3.7265625" style="37" customWidth="1"/>
    <col min="12291" max="12291" width="3.81640625" style="37" customWidth="1"/>
    <col min="12292" max="12292" width="26.26953125" style="37" customWidth="1"/>
    <col min="12293" max="12293" width="5.7265625" style="37" customWidth="1"/>
    <col min="12294" max="12300" width="9.54296875" style="37" customWidth="1"/>
    <col min="12301" max="12544" width="8.81640625" style="37"/>
    <col min="12545" max="12546" width="3.7265625" style="37" customWidth="1"/>
    <col min="12547" max="12547" width="3.81640625" style="37" customWidth="1"/>
    <col min="12548" max="12548" width="26.26953125" style="37" customWidth="1"/>
    <col min="12549" max="12549" width="5.7265625" style="37" customWidth="1"/>
    <col min="12550" max="12556" width="9.54296875" style="37" customWidth="1"/>
    <col min="12557" max="12800" width="8.81640625" style="37"/>
    <col min="12801" max="12802" width="3.7265625" style="37" customWidth="1"/>
    <col min="12803" max="12803" width="3.81640625" style="37" customWidth="1"/>
    <col min="12804" max="12804" width="26.26953125" style="37" customWidth="1"/>
    <col min="12805" max="12805" width="5.7265625" style="37" customWidth="1"/>
    <col min="12806" max="12812" width="9.54296875" style="37" customWidth="1"/>
    <col min="12813" max="13056" width="8.81640625" style="37"/>
    <col min="13057" max="13058" width="3.7265625" style="37" customWidth="1"/>
    <col min="13059" max="13059" width="3.81640625" style="37" customWidth="1"/>
    <col min="13060" max="13060" width="26.26953125" style="37" customWidth="1"/>
    <col min="13061" max="13061" width="5.7265625" style="37" customWidth="1"/>
    <col min="13062" max="13068" width="9.54296875" style="37" customWidth="1"/>
    <col min="13069" max="13312" width="8.81640625" style="37"/>
    <col min="13313" max="13314" width="3.7265625" style="37" customWidth="1"/>
    <col min="13315" max="13315" width="3.81640625" style="37" customWidth="1"/>
    <col min="13316" max="13316" width="26.26953125" style="37" customWidth="1"/>
    <col min="13317" max="13317" width="5.7265625" style="37" customWidth="1"/>
    <col min="13318" max="13324" width="9.54296875" style="37" customWidth="1"/>
    <col min="13325" max="13568" width="8.81640625" style="37"/>
    <col min="13569" max="13570" width="3.7265625" style="37" customWidth="1"/>
    <col min="13571" max="13571" width="3.81640625" style="37" customWidth="1"/>
    <col min="13572" max="13572" width="26.26953125" style="37" customWidth="1"/>
    <col min="13573" max="13573" width="5.7265625" style="37" customWidth="1"/>
    <col min="13574" max="13580" width="9.54296875" style="37" customWidth="1"/>
    <col min="13581" max="13824" width="8.81640625" style="37"/>
    <col min="13825" max="13826" width="3.7265625" style="37" customWidth="1"/>
    <col min="13827" max="13827" width="3.81640625" style="37" customWidth="1"/>
    <col min="13828" max="13828" width="26.26953125" style="37" customWidth="1"/>
    <col min="13829" max="13829" width="5.7265625" style="37" customWidth="1"/>
    <col min="13830" max="13836" width="9.54296875" style="37" customWidth="1"/>
    <col min="13837" max="14080" width="8.81640625" style="37"/>
    <col min="14081" max="14082" width="3.7265625" style="37" customWidth="1"/>
    <col min="14083" max="14083" width="3.81640625" style="37" customWidth="1"/>
    <col min="14084" max="14084" width="26.26953125" style="37" customWidth="1"/>
    <col min="14085" max="14085" width="5.7265625" style="37" customWidth="1"/>
    <col min="14086" max="14092" width="9.54296875" style="37" customWidth="1"/>
    <col min="14093" max="14336" width="8.81640625" style="37"/>
    <col min="14337" max="14338" width="3.7265625" style="37" customWidth="1"/>
    <col min="14339" max="14339" width="3.81640625" style="37" customWidth="1"/>
    <col min="14340" max="14340" width="26.26953125" style="37" customWidth="1"/>
    <col min="14341" max="14341" width="5.7265625" style="37" customWidth="1"/>
    <col min="14342" max="14348" width="9.54296875" style="37" customWidth="1"/>
    <col min="14349" max="14592" width="8.81640625" style="37"/>
    <col min="14593" max="14594" width="3.7265625" style="37" customWidth="1"/>
    <col min="14595" max="14595" width="3.81640625" style="37" customWidth="1"/>
    <col min="14596" max="14596" width="26.26953125" style="37" customWidth="1"/>
    <col min="14597" max="14597" width="5.7265625" style="37" customWidth="1"/>
    <col min="14598" max="14604" width="9.54296875" style="37" customWidth="1"/>
    <col min="14605" max="14848" width="8.81640625" style="37"/>
    <col min="14849" max="14850" width="3.7265625" style="37" customWidth="1"/>
    <col min="14851" max="14851" width="3.81640625" style="37" customWidth="1"/>
    <col min="14852" max="14852" width="26.26953125" style="37" customWidth="1"/>
    <col min="14853" max="14853" width="5.7265625" style="37" customWidth="1"/>
    <col min="14854" max="14860" width="9.54296875" style="37" customWidth="1"/>
    <col min="14861" max="15104" width="8.81640625" style="37"/>
    <col min="15105" max="15106" width="3.7265625" style="37" customWidth="1"/>
    <col min="15107" max="15107" width="3.81640625" style="37" customWidth="1"/>
    <col min="15108" max="15108" width="26.26953125" style="37" customWidth="1"/>
    <col min="15109" max="15109" width="5.7265625" style="37" customWidth="1"/>
    <col min="15110" max="15116" width="9.54296875" style="37" customWidth="1"/>
    <col min="15117" max="15360" width="8.81640625" style="37"/>
    <col min="15361" max="15362" width="3.7265625" style="37" customWidth="1"/>
    <col min="15363" max="15363" width="3.81640625" style="37" customWidth="1"/>
    <col min="15364" max="15364" width="26.26953125" style="37" customWidth="1"/>
    <col min="15365" max="15365" width="5.7265625" style="37" customWidth="1"/>
    <col min="15366" max="15372" width="9.54296875" style="37" customWidth="1"/>
    <col min="15373" max="15616" width="8.81640625" style="37"/>
    <col min="15617" max="15618" width="3.7265625" style="37" customWidth="1"/>
    <col min="15619" max="15619" width="3.81640625" style="37" customWidth="1"/>
    <col min="15620" max="15620" width="26.26953125" style="37" customWidth="1"/>
    <col min="15621" max="15621" width="5.7265625" style="37" customWidth="1"/>
    <col min="15622" max="15628" width="9.54296875" style="37" customWidth="1"/>
    <col min="15629" max="15872" width="8.81640625" style="37"/>
    <col min="15873" max="15874" width="3.7265625" style="37" customWidth="1"/>
    <col min="15875" max="15875" width="3.81640625" style="37" customWidth="1"/>
    <col min="15876" max="15876" width="26.26953125" style="37" customWidth="1"/>
    <col min="15877" max="15877" width="5.7265625" style="37" customWidth="1"/>
    <col min="15878" max="15884" width="9.54296875" style="37" customWidth="1"/>
    <col min="15885" max="16128" width="8.81640625" style="37"/>
    <col min="16129" max="16130" width="3.7265625" style="37" customWidth="1"/>
    <col min="16131" max="16131" width="3.81640625" style="37" customWidth="1"/>
    <col min="16132" max="16132" width="26.26953125" style="37" customWidth="1"/>
    <col min="16133" max="16133" width="5.7265625" style="37" customWidth="1"/>
    <col min="16134" max="16140" width="9.54296875" style="37" customWidth="1"/>
    <col min="16141" max="16384" width="8.81640625" style="37"/>
  </cols>
  <sheetData>
    <row r="1" spans="1:17" customFormat="1" ht="36.75" customHeight="1" x14ac:dyDescent="0.25">
      <c r="A1" s="30"/>
      <c r="B1" s="30"/>
      <c r="C1" s="30"/>
      <c r="D1" s="31"/>
      <c r="E1" s="161"/>
      <c r="F1" s="31"/>
      <c r="G1" s="31"/>
      <c r="H1" s="31"/>
      <c r="I1" s="31"/>
      <c r="J1" s="31"/>
      <c r="K1" s="162"/>
      <c r="L1" s="32" t="s">
        <v>40</v>
      </c>
    </row>
    <row r="2" spans="1:17" customFormat="1" ht="11.25" customHeight="1" x14ac:dyDescent="0.25">
      <c r="A2" s="33"/>
      <c r="B2" s="33"/>
      <c r="C2" s="33"/>
      <c r="D2" s="34"/>
      <c r="E2" s="163"/>
      <c r="F2" s="34"/>
      <c r="G2" s="34"/>
      <c r="H2" s="34"/>
      <c r="I2" s="34"/>
      <c r="J2" s="34"/>
      <c r="K2" s="164"/>
      <c r="L2" s="34"/>
    </row>
    <row r="3" spans="1:17" s="35" customFormat="1" ht="20.149999999999999" customHeight="1" x14ac:dyDescent="0.35">
      <c r="A3" s="445" t="s">
        <v>181</v>
      </c>
      <c r="B3" s="445"/>
      <c r="C3" s="445"/>
      <c r="D3" s="445"/>
      <c r="E3" s="445"/>
      <c r="F3" s="445"/>
      <c r="G3" s="445"/>
      <c r="H3" s="445"/>
      <c r="I3" s="445"/>
      <c r="J3" s="445"/>
      <c r="K3" s="445"/>
      <c r="L3" s="445"/>
    </row>
    <row r="4" spans="1:17" s="35" customFormat="1" ht="12" customHeight="1" x14ac:dyDescent="0.35">
      <c r="A4" s="446" t="s">
        <v>86</v>
      </c>
      <c r="B4" s="446"/>
      <c r="C4" s="446"/>
      <c r="D4" s="446"/>
      <c r="E4" s="446"/>
      <c r="F4" s="446"/>
      <c r="G4" s="446"/>
      <c r="H4" s="446"/>
      <c r="I4" s="446"/>
      <c r="J4" s="446"/>
      <c r="K4" s="446"/>
      <c r="L4" s="446"/>
    </row>
    <row r="5" spans="1:17" s="35" customFormat="1" ht="12" customHeight="1" x14ac:dyDescent="0.35">
      <c r="A5" s="447" t="s">
        <v>42</v>
      </c>
      <c r="B5" s="447"/>
      <c r="C5" s="447"/>
      <c r="D5" s="447"/>
      <c r="E5" s="447"/>
      <c r="F5" s="447"/>
      <c r="G5" s="165"/>
      <c r="H5" s="165"/>
      <c r="I5" s="165"/>
      <c r="J5" s="165"/>
      <c r="K5" s="166"/>
      <c r="L5" s="165"/>
    </row>
    <row r="6" spans="1:17" s="35" customFormat="1" ht="11.25" customHeight="1" x14ac:dyDescent="0.35">
      <c r="A6" s="145"/>
      <c r="B6" s="146"/>
      <c r="C6" s="146"/>
      <c r="D6" s="146"/>
      <c r="E6" s="146"/>
      <c r="F6" s="146"/>
      <c r="G6" s="146"/>
      <c r="H6" s="146"/>
      <c r="I6" s="146"/>
      <c r="J6" s="146"/>
      <c r="K6" s="167"/>
    </row>
    <row r="7" spans="1:17" customFormat="1" ht="12" customHeight="1" x14ac:dyDescent="0.25">
      <c r="A7" s="450" t="s">
        <v>87</v>
      </c>
      <c r="B7" s="451"/>
      <c r="C7" s="451"/>
      <c r="D7" s="451"/>
      <c r="E7" s="456" t="s">
        <v>88</v>
      </c>
      <c r="F7" s="459" t="s">
        <v>175</v>
      </c>
      <c r="G7" s="460"/>
      <c r="H7" s="460"/>
      <c r="I7" s="460"/>
      <c r="J7" s="461"/>
      <c r="K7" s="462" t="s">
        <v>176</v>
      </c>
      <c r="L7" s="463"/>
      <c r="M7" s="37"/>
      <c r="N7" s="37"/>
      <c r="O7" s="37"/>
      <c r="P7" s="37"/>
      <c r="Q7" s="37"/>
    </row>
    <row r="8" spans="1:17" ht="21.75" customHeight="1" x14ac:dyDescent="0.2">
      <c r="A8" s="452"/>
      <c r="B8" s="453"/>
      <c r="C8" s="453"/>
      <c r="D8" s="453"/>
      <c r="E8" s="457"/>
      <c r="F8" s="438" t="s">
        <v>91</v>
      </c>
      <c r="G8" s="438" t="s">
        <v>92</v>
      </c>
      <c r="H8" s="438" t="s">
        <v>93</v>
      </c>
      <c r="I8" s="438" t="s">
        <v>94</v>
      </c>
      <c r="J8" s="438" t="s">
        <v>95</v>
      </c>
      <c r="K8" s="464"/>
      <c r="L8" s="465"/>
    </row>
    <row r="9" spans="1:17" ht="12" customHeight="1" x14ac:dyDescent="0.2">
      <c r="A9" s="452"/>
      <c r="B9" s="453"/>
      <c r="C9" s="453"/>
      <c r="D9" s="453"/>
      <c r="E9" s="457"/>
      <c r="F9" s="439"/>
      <c r="G9" s="439"/>
      <c r="H9" s="439"/>
      <c r="I9" s="439"/>
      <c r="J9" s="439"/>
      <c r="K9" s="38" t="s">
        <v>96</v>
      </c>
      <c r="L9" s="39" t="s">
        <v>97</v>
      </c>
    </row>
    <row r="10" spans="1:17" ht="12" customHeight="1" x14ac:dyDescent="0.2">
      <c r="A10" s="454"/>
      <c r="B10" s="455"/>
      <c r="C10" s="455"/>
      <c r="D10" s="455"/>
      <c r="E10" s="458"/>
      <c r="F10" s="40">
        <v>1</v>
      </c>
      <c r="G10" s="40">
        <v>2</v>
      </c>
      <c r="H10" s="40">
        <v>3</v>
      </c>
      <c r="I10" s="40">
        <v>4</v>
      </c>
      <c r="J10" s="40">
        <v>5</v>
      </c>
      <c r="K10" s="40">
        <v>6</v>
      </c>
      <c r="L10" s="40">
        <v>7</v>
      </c>
      <c r="M10" s="41"/>
    </row>
    <row r="11" spans="1:17" ht="18" customHeight="1" x14ac:dyDescent="0.2">
      <c r="A11" s="168" t="s">
        <v>98</v>
      </c>
      <c r="B11" s="169"/>
      <c r="C11" s="169"/>
      <c r="D11" s="170"/>
      <c r="E11" s="52">
        <v>100</v>
      </c>
      <c r="F11" s="54">
        <v>87540</v>
      </c>
      <c r="G11" s="53">
        <v>87355</v>
      </c>
      <c r="H11" s="53">
        <v>88337</v>
      </c>
      <c r="I11" s="53">
        <v>89302</v>
      </c>
      <c r="J11" s="79">
        <v>88265</v>
      </c>
      <c r="K11" s="53">
        <v>-725</v>
      </c>
      <c r="L11" s="55">
        <v>-0.8213901319888971</v>
      </c>
    </row>
    <row r="12" spans="1:17" ht="25" customHeight="1" x14ac:dyDescent="0.25">
      <c r="A12" s="477" t="s">
        <v>182</v>
      </c>
      <c r="B12" s="478"/>
      <c r="C12" s="478"/>
      <c r="D12" s="479"/>
      <c r="E12" s="52">
        <v>49.830934429974867</v>
      </c>
      <c r="F12" s="54">
        <v>43622</v>
      </c>
      <c r="G12" s="53">
        <v>43343</v>
      </c>
      <c r="H12" s="53">
        <v>43830</v>
      </c>
      <c r="I12" s="53">
        <v>44432</v>
      </c>
      <c r="J12" s="79">
        <v>43837</v>
      </c>
      <c r="K12" s="53">
        <v>-215</v>
      </c>
      <c r="L12" s="55">
        <v>-0.49045327006866346</v>
      </c>
    </row>
    <row r="13" spans="1:17" ht="15" customHeight="1" x14ac:dyDescent="0.2">
      <c r="A13" s="59"/>
      <c r="B13" s="484" t="s">
        <v>101</v>
      </c>
      <c r="C13" s="484"/>
      <c r="E13" s="52">
        <v>50.169065570025133</v>
      </c>
      <c r="F13" s="54">
        <v>43918</v>
      </c>
      <c r="G13" s="53">
        <v>44012</v>
      </c>
      <c r="H13" s="53">
        <v>44507</v>
      </c>
      <c r="I13" s="53">
        <v>44870</v>
      </c>
      <c r="J13" s="79">
        <v>44428</v>
      </c>
      <c r="K13" s="53">
        <v>-510</v>
      </c>
      <c r="L13" s="55">
        <v>-1.1479247321508959</v>
      </c>
    </row>
    <row r="14" spans="1:17" ht="25" customHeight="1" x14ac:dyDescent="0.25">
      <c r="A14" s="477" t="s">
        <v>183</v>
      </c>
      <c r="B14" s="478"/>
      <c r="C14" s="478"/>
      <c r="D14" s="479"/>
      <c r="E14" s="52">
        <v>8.6737491432488003</v>
      </c>
      <c r="F14" s="54">
        <v>7593</v>
      </c>
      <c r="G14" s="53">
        <v>7766</v>
      </c>
      <c r="H14" s="53">
        <v>8019</v>
      </c>
      <c r="I14" s="53">
        <v>8270</v>
      </c>
      <c r="J14" s="79">
        <v>7405</v>
      </c>
      <c r="K14" s="53">
        <v>188</v>
      </c>
      <c r="L14" s="55">
        <v>2.5388251181634032</v>
      </c>
    </row>
    <row r="15" spans="1:17" ht="15" customHeight="1" x14ac:dyDescent="0.2">
      <c r="A15" s="59"/>
      <c r="B15" s="58"/>
      <c r="C15" s="37" t="s">
        <v>100</v>
      </c>
      <c r="E15" s="52">
        <v>57.605689450809955</v>
      </c>
      <c r="F15" s="54">
        <v>4374</v>
      </c>
      <c r="G15" s="53">
        <v>4444</v>
      </c>
      <c r="H15" s="53">
        <v>4599</v>
      </c>
      <c r="I15" s="53">
        <v>4759</v>
      </c>
      <c r="J15" s="79">
        <v>4276</v>
      </c>
      <c r="K15" s="53">
        <v>98</v>
      </c>
      <c r="L15" s="55">
        <v>2.2918615528531339</v>
      </c>
    </row>
    <row r="16" spans="1:17" ht="15" customHeight="1" x14ac:dyDescent="0.2">
      <c r="A16" s="59"/>
      <c r="B16" s="58"/>
      <c r="C16" s="37" t="s">
        <v>101</v>
      </c>
      <c r="E16" s="52">
        <v>42.394310549190045</v>
      </c>
      <c r="F16" s="54">
        <v>3219</v>
      </c>
      <c r="G16" s="53">
        <v>3322</v>
      </c>
      <c r="H16" s="53">
        <v>3420</v>
      </c>
      <c r="I16" s="53">
        <v>3511</v>
      </c>
      <c r="J16" s="79">
        <v>3129</v>
      </c>
      <c r="K16" s="53">
        <v>90</v>
      </c>
      <c r="L16" s="55">
        <v>2.8763183125599232</v>
      </c>
    </row>
    <row r="17" spans="1:12" ht="15" customHeight="1" x14ac:dyDescent="0.2">
      <c r="A17" s="59"/>
      <c r="B17" s="60" t="s">
        <v>103</v>
      </c>
      <c r="E17" s="52">
        <v>63.7240118802833</v>
      </c>
      <c r="F17" s="54">
        <v>55784</v>
      </c>
      <c r="G17" s="53">
        <v>55706</v>
      </c>
      <c r="H17" s="53">
        <v>56108</v>
      </c>
      <c r="I17" s="53">
        <v>56667</v>
      </c>
      <c r="J17" s="79">
        <v>56426</v>
      </c>
      <c r="K17" s="53">
        <v>-642</v>
      </c>
      <c r="L17" s="55">
        <v>-1.1377733668876051</v>
      </c>
    </row>
    <row r="18" spans="1:12" ht="15" customHeight="1" x14ac:dyDescent="0.2">
      <c r="A18" s="59"/>
      <c r="B18" s="58"/>
      <c r="C18" s="37" t="s">
        <v>100</v>
      </c>
      <c r="E18" s="52">
        <v>50.589774845833929</v>
      </c>
      <c r="F18" s="54">
        <v>28221</v>
      </c>
      <c r="G18" s="53">
        <v>28064</v>
      </c>
      <c r="H18" s="53">
        <v>28279</v>
      </c>
      <c r="I18" s="53">
        <v>28613</v>
      </c>
      <c r="J18" s="79">
        <v>28482</v>
      </c>
      <c r="K18" s="53">
        <v>-261</v>
      </c>
      <c r="L18" s="55">
        <v>-0.91636823256793765</v>
      </c>
    </row>
    <row r="19" spans="1:12" ht="15" customHeight="1" x14ac:dyDescent="0.2">
      <c r="A19" s="59"/>
      <c r="B19" s="58"/>
      <c r="C19" s="37" t="s">
        <v>101</v>
      </c>
      <c r="E19" s="52">
        <v>49.410225154166071</v>
      </c>
      <c r="F19" s="54">
        <v>27563</v>
      </c>
      <c r="G19" s="53">
        <v>27642</v>
      </c>
      <c r="H19" s="53">
        <v>27829</v>
      </c>
      <c r="I19" s="53">
        <v>28054</v>
      </c>
      <c r="J19" s="79">
        <v>27944</v>
      </c>
      <c r="K19" s="53">
        <v>-381</v>
      </c>
      <c r="L19" s="55">
        <v>-1.3634411680503864</v>
      </c>
    </row>
    <row r="20" spans="1:12" ht="15" customHeight="1" x14ac:dyDescent="0.2">
      <c r="A20" s="59"/>
      <c r="B20" s="60" t="s">
        <v>104</v>
      </c>
      <c r="E20" s="52">
        <v>25.98012337217272</v>
      </c>
      <c r="F20" s="54">
        <v>22743</v>
      </c>
      <c r="G20" s="53">
        <v>22529</v>
      </c>
      <c r="H20" s="53">
        <v>22844</v>
      </c>
      <c r="I20" s="53">
        <v>23034</v>
      </c>
      <c r="J20" s="79">
        <v>23160</v>
      </c>
      <c r="K20" s="53">
        <v>-417</v>
      </c>
      <c r="L20" s="55">
        <v>-1.8005181347150259</v>
      </c>
    </row>
    <row r="21" spans="1:12" ht="15" customHeight="1" x14ac:dyDescent="0.2">
      <c r="A21" s="59"/>
      <c r="B21" s="58"/>
      <c r="C21" s="37" t="s">
        <v>100</v>
      </c>
      <c r="E21" s="52">
        <v>45.30624807633118</v>
      </c>
      <c r="F21" s="54">
        <v>10304</v>
      </c>
      <c r="G21" s="53">
        <v>10152</v>
      </c>
      <c r="H21" s="53">
        <v>10248</v>
      </c>
      <c r="I21" s="53">
        <v>10359</v>
      </c>
      <c r="J21" s="79">
        <v>10412</v>
      </c>
      <c r="K21" s="53">
        <v>-108</v>
      </c>
      <c r="L21" s="55">
        <v>-1.0372646945831732</v>
      </c>
    </row>
    <row r="22" spans="1:12" ht="15" customHeight="1" x14ac:dyDescent="0.2">
      <c r="A22" s="59"/>
      <c r="B22" s="58"/>
      <c r="C22" s="37" t="s">
        <v>101</v>
      </c>
      <c r="E22" s="52">
        <v>54.69375192366882</v>
      </c>
      <c r="F22" s="54">
        <v>12439</v>
      </c>
      <c r="G22" s="53">
        <v>12377</v>
      </c>
      <c r="H22" s="53">
        <v>12596</v>
      </c>
      <c r="I22" s="53">
        <v>12675</v>
      </c>
      <c r="J22" s="79">
        <v>12748</v>
      </c>
      <c r="K22" s="53">
        <v>-309</v>
      </c>
      <c r="L22" s="55">
        <v>-2.4239096328835896</v>
      </c>
    </row>
    <row r="23" spans="1:12" ht="15" customHeight="1" x14ac:dyDescent="0.2">
      <c r="A23" s="59"/>
      <c r="B23" s="60" t="s">
        <v>105</v>
      </c>
      <c r="E23" s="52">
        <v>1.6221156042951794</v>
      </c>
      <c r="F23" s="54">
        <v>1420</v>
      </c>
      <c r="G23" s="53">
        <v>1354</v>
      </c>
      <c r="H23" s="53">
        <v>1366</v>
      </c>
      <c r="I23" s="53">
        <v>1331</v>
      </c>
      <c r="J23" s="79">
        <v>1274</v>
      </c>
      <c r="K23" s="53">
        <v>146</v>
      </c>
      <c r="L23" s="55">
        <v>11.459968602825745</v>
      </c>
    </row>
    <row r="24" spans="1:12" ht="15" customHeight="1" x14ac:dyDescent="0.2">
      <c r="A24" s="59"/>
      <c r="B24" s="58"/>
      <c r="C24" s="37" t="s">
        <v>100</v>
      </c>
      <c r="E24" s="52">
        <v>50.91549295774648</v>
      </c>
      <c r="F24" s="54">
        <v>723</v>
      </c>
      <c r="G24" s="53">
        <v>683</v>
      </c>
      <c r="H24" s="53">
        <v>704</v>
      </c>
      <c r="I24" s="53">
        <v>701</v>
      </c>
      <c r="J24" s="79">
        <v>667</v>
      </c>
      <c r="K24" s="53">
        <v>56</v>
      </c>
      <c r="L24" s="55">
        <v>8.395802098950524</v>
      </c>
    </row>
    <row r="25" spans="1:12" ht="15" customHeight="1" x14ac:dyDescent="0.2">
      <c r="A25" s="59"/>
      <c r="B25" s="58"/>
      <c r="C25" s="37" t="s">
        <v>101</v>
      </c>
      <c r="E25" s="52">
        <v>49.08450704225352</v>
      </c>
      <c r="F25" s="54">
        <v>697</v>
      </c>
      <c r="G25" s="53">
        <v>671</v>
      </c>
      <c r="H25" s="53">
        <v>662</v>
      </c>
      <c r="I25" s="53">
        <v>630</v>
      </c>
      <c r="J25" s="79">
        <v>607</v>
      </c>
      <c r="K25" s="53">
        <v>90</v>
      </c>
      <c r="L25" s="55">
        <v>14.827018121911038</v>
      </c>
    </row>
    <row r="26" spans="1:12" ht="15" customHeight="1" x14ac:dyDescent="0.2">
      <c r="A26" s="59"/>
      <c r="C26" s="60" t="s">
        <v>184</v>
      </c>
      <c r="D26" s="37" t="s">
        <v>185</v>
      </c>
      <c r="E26" s="52">
        <v>0.7425177061914553</v>
      </c>
      <c r="F26" s="54">
        <v>650</v>
      </c>
      <c r="G26" s="53">
        <v>620</v>
      </c>
      <c r="H26" s="53">
        <v>579</v>
      </c>
      <c r="I26" s="53">
        <v>580</v>
      </c>
      <c r="J26" s="79">
        <v>555</v>
      </c>
      <c r="K26" s="53">
        <v>95</v>
      </c>
      <c r="L26" s="55">
        <v>17.117117117117118</v>
      </c>
    </row>
    <row r="27" spans="1:12" ht="15" customHeight="1" x14ac:dyDescent="0.2">
      <c r="A27" s="59"/>
      <c r="B27" s="58"/>
      <c r="D27" s="171" t="s">
        <v>100</v>
      </c>
      <c r="E27" s="52">
        <v>46</v>
      </c>
      <c r="F27" s="54">
        <v>299</v>
      </c>
      <c r="G27" s="53">
        <v>290</v>
      </c>
      <c r="H27" s="53">
        <v>292</v>
      </c>
      <c r="I27" s="53">
        <v>291</v>
      </c>
      <c r="J27" s="79">
        <v>265</v>
      </c>
      <c r="K27" s="53">
        <v>34</v>
      </c>
      <c r="L27" s="55">
        <v>12.830188679245284</v>
      </c>
    </row>
    <row r="28" spans="1:12" ht="15" customHeight="1" x14ac:dyDescent="0.2">
      <c r="A28" s="59"/>
      <c r="B28" s="58"/>
      <c r="D28" s="171" t="s">
        <v>101</v>
      </c>
      <c r="E28" s="52">
        <v>54</v>
      </c>
      <c r="F28" s="54">
        <v>351</v>
      </c>
      <c r="G28" s="53">
        <v>330</v>
      </c>
      <c r="H28" s="53">
        <v>287</v>
      </c>
      <c r="I28" s="53">
        <v>289</v>
      </c>
      <c r="J28" s="79">
        <v>290</v>
      </c>
      <c r="K28" s="53">
        <v>61</v>
      </c>
      <c r="L28" s="55">
        <v>21.03448275862069</v>
      </c>
    </row>
    <row r="29" spans="1:12" ht="25" customHeight="1" x14ac:dyDescent="0.25">
      <c r="A29" s="477" t="s">
        <v>186</v>
      </c>
      <c r="B29" s="478"/>
      <c r="C29" s="478"/>
      <c r="D29" s="479"/>
      <c r="E29" s="52">
        <v>86.801462188713728</v>
      </c>
      <c r="F29" s="54">
        <v>75986</v>
      </c>
      <c r="G29" s="53">
        <v>76125</v>
      </c>
      <c r="H29" s="53">
        <v>77226</v>
      </c>
      <c r="I29" s="53">
        <v>77999</v>
      </c>
      <c r="J29" s="79">
        <v>77271</v>
      </c>
      <c r="K29" s="53">
        <v>-1285</v>
      </c>
      <c r="L29" s="55">
        <v>-1.6629783489277996</v>
      </c>
    </row>
    <row r="30" spans="1:12" ht="15" customHeight="1" x14ac:dyDescent="0.2">
      <c r="A30" s="59"/>
      <c r="B30" s="58"/>
      <c r="C30" s="37" t="s">
        <v>100</v>
      </c>
      <c r="E30" s="52">
        <v>48.955070670913059</v>
      </c>
      <c r="F30" s="54">
        <v>37199</v>
      </c>
      <c r="G30" s="53">
        <v>37096</v>
      </c>
      <c r="H30" s="53">
        <v>37653</v>
      </c>
      <c r="I30" s="53">
        <v>38108</v>
      </c>
      <c r="J30" s="79">
        <v>37666</v>
      </c>
      <c r="K30" s="53">
        <v>-467</v>
      </c>
      <c r="L30" s="55">
        <v>-1.2398449530080178</v>
      </c>
    </row>
    <row r="31" spans="1:12" ht="15" customHeight="1" x14ac:dyDescent="0.2">
      <c r="A31" s="59"/>
      <c r="B31" s="58"/>
      <c r="C31" s="37" t="s">
        <v>101</v>
      </c>
      <c r="E31" s="52">
        <v>51.044929329086941</v>
      </c>
      <c r="F31" s="54">
        <v>38787</v>
      </c>
      <c r="G31" s="53">
        <v>39029</v>
      </c>
      <c r="H31" s="53">
        <v>39573</v>
      </c>
      <c r="I31" s="53">
        <v>39891</v>
      </c>
      <c r="J31" s="79">
        <v>39605</v>
      </c>
      <c r="K31" s="53">
        <v>-818</v>
      </c>
      <c r="L31" s="55">
        <v>-2.0653957833606866</v>
      </c>
    </row>
    <row r="32" spans="1:12" ht="15" customHeight="1" x14ac:dyDescent="0.2">
      <c r="A32" s="59"/>
      <c r="B32" s="58" t="s">
        <v>111</v>
      </c>
      <c r="E32" s="52">
        <v>13.198537811286268</v>
      </c>
      <c r="F32" s="54">
        <v>11554</v>
      </c>
      <c r="G32" s="53">
        <v>11230</v>
      </c>
      <c r="H32" s="53">
        <v>11111</v>
      </c>
      <c r="I32" s="53">
        <v>11303</v>
      </c>
      <c r="J32" s="79">
        <v>10994</v>
      </c>
      <c r="K32" s="53">
        <v>560</v>
      </c>
      <c r="L32" s="55">
        <v>5.0936874658904854</v>
      </c>
    </row>
    <row r="33" spans="1:12" ht="15" customHeight="1" x14ac:dyDescent="0.2">
      <c r="A33" s="59"/>
      <c r="B33" s="58"/>
      <c r="C33" s="37" t="s">
        <v>100</v>
      </c>
      <c r="E33" s="52">
        <v>55.591137268478448</v>
      </c>
      <c r="F33" s="54">
        <v>6423</v>
      </c>
      <c r="G33" s="53">
        <v>6247</v>
      </c>
      <c r="H33" s="53">
        <v>6177</v>
      </c>
      <c r="I33" s="53">
        <v>6324</v>
      </c>
      <c r="J33" s="79">
        <v>6171</v>
      </c>
      <c r="K33" s="53">
        <v>252</v>
      </c>
      <c r="L33" s="55">
        <v>4.0836169178415167</v>
      </c>
    </row>
    <row r="34" spans="1:12" ht="15" customHeight="1" x14ac:dyDescent="0.2">
      <c r="A34" s="59"/>
      <c r="B34" s="58"/>
      <c r="C34" s="37" t="s">
        <v>101</v>
      </c>
      <c r="E34" s="52">
        <v>44.408862731521552</v>
      </c>
      <c r="F34" s="54">
        <v>5131</v>
      </c>
      <c r="G34" s="53">
        <v>4983</v>
      </c>
      <c r="H34" s="53">
        <v>4934</v>
      </c>
      <c r="I34" s="53">
        <v>4979</v>
      </c>
      <c r="J34" s="79">
        <v>4823</v>
      </c>
      <c r="K34" s="53">
        <v>308</v>
      </c>
      <c r="L34" s="55">
        <v>6.3860667634252541</v>
      </c>
    </row>
    <row r="35" spans="1:12" ht="25" customHeight="1" x14ac:dyDescent="0.25">
      <c r="A35" s="477" t="s">
        <v>187</v>
      </c>
      <c r="B35" s="478"/>
      <c r="C35" s="478"/>
      <c r="D35" s="479"/>
      <c r="E35" s="52">
        <v>61.204021018962763</v>
      </c>
      <c r="F35" s="54">
        <v>53578</v>
      </c>
      <c r="G35" s="53">
        <v>53667</v>
      </c>
      <c r="H35" s="53">
        <v>54374</v>
      </c>
      <c r="I35" s="53">
        <v>55180</v>
      </c>
      <c r="J35" s="79">
        <v>54570</v>
      </c>
      <c r="K35" s="53">
        <v>-992</v>
      </c>
      <c r="L35" s="55">
        <v>-1.8178486347810152</v>
      </c>
    </row>
    <row r="36" spans="1:12" ht="15" customHeight="1" x14ac:dyDescent="0.2">
      <c r="A36" s="59"/>
      <c r="B36" s="58"/>
      <c r="C36" s="37" t="s">
        <v>100</v>
      </c>
      <c r="E36" s="52">
        <v>67.25148381798499</v>
      </c>
      <c r="F36" s="54">
        <v>36032</v>
      </c>
      <c r="G36" s="53">
        <v>35960</v>
      </c>
      <c r="H36" s="53">
        <v>36416</v>
      </c>
      <c r="I36" s="53">
        <v>36981</v>
      </c>
      <c r="J36" s="79">
        <v>36507</v>
      </c>
      <c r="K36" s="53">
        <v>-475</v>
      </c>
      <c r="L36" s="55">
        <v>-1.3011203330868053</v>
      </c>
    </row>
    <row r="37" spans="1:12" ht="15" customHeight="1" x14ac:dyDescent="0.2">
      <c r="A37" s="59"/>
      <c r="B37" s="58"/>
      <c r="C37" s="37" t="s">
        <v>101</v>
      </c>
      <c r="E37" s="52">
        <v>32.74851618201501</v>
      </c>
      <c r="F37" s="54">
        <v>17546</v>
      </c>
      <c r="G37" s="53">
        <v>17707</v>
      </c>
      <c r="H37" s="53">
        <v>17958</v>
      </c>
      <c r="I37" s="53">
        <v>18199</v>
      </c>
      <c r="J37" s="79">
        <v>18063</v>
      </c>
      <c r="K37" s="53">
        <v>-517</v>
      </c>
      <c r="L37" s="55">
        <v>-2.8622045064496486</v>
      </c>
    </row>
    <row r="38" spans="1:12" ht="15" customHeight="1" x14ac:dyDescent="0.2">
      <c r="A38" s="59"/>
      <c r="B38" s="58" t="s">
        <v>178</v>
      </c>
      <c r="E38" s="52">
        <v>38.795978981037237</v>
      </c>
      <c r="F38" s="54">
        <v>33962</v>
      </c>
      <c r="G38" s="53">
        <v>33688</v>
      </c>
      <c r="H38" s="53">
        <v>33963</v>
      </c>
      <c r="I38" s="53">
        <v>34122</v>
      </c>
      <c r="J38" s="79">
        <v>33695</v>
      </c>
      <c r="K38" s="53">
        <v>267</v>
      </c>
      <c r="L38" s="55">
        <v>0.7924024335954889</v>
      </c>
    </row>
    <row r="39" spans="1:12" ht="15" customHeight="1" x14ac:dyDescent="0.2">
      <c r="A39" s="59"/>
      <c r="B39" s="58"/>
      <c r="C39" s="37" t="s">
        <v>100</v>
      </c>
      <c r="E39" s="52">
        <v>22.34850715505565</v>
      </c>
      <c r="F39" s="54">
        <v>7590</v>
      </c>
      <c r="G39" s="53">
        <v>7383</v>
      </c>
      <c r="H39" s="53">
        <v>7414</v>
      </c>
      <c r="I39" s="53">
        <v>7451</v>
      </c>
      <c r="J39" s="79">
        <v>7330</v>
      </c>
      <c r="K39" s="53">
        <v>260</v>
      </c>
      <c r="L39" s="55">
        <v>3.5470668485675305</v>
      </c>
    </row>
    <row r="40" spans="1:12" ht="15" customHeight="1" x14ac:dyDescent="0.2">
      <c r="A40" s="59"/>
      <c r="B40" s="58"/>
      <c r="C40" s="37" t="s">
        <v>101</v>
      </c>
      <c r="E40" s="52">
        <v>77.651492844944343</v>
      </c>
      <c r="F40" s="54">
        <v>26372</v>
      </c>
      <c r="G40" s="53">
        <v>26305</v>
      </c>
      <c r="H40" s="53">
        <v>26549</v>
      </c>
      <c r="I40" s="53">
        <v>26671</v>
      </c>
      <c r="J40" s="79">
        <v>26365</v>
      </c>
      <c r="K40" s="53">
        <v>7</v>
      </c>
      <c r="L40" s="55">
        <v>2.6550350843921867E-2</v>
      </c>
    </row>
    <row r="41" spans="1:12" ht="24.75" customHeight="1" x14ac:dyDescent="0.25">
      <c r="A41" s="477" t="s">
        <v>553</v>
      </c>
      <c r="B41" s="478"/>
      <c r="C41" s="478"/>
      <c r="D41" s="479"/>
      <c r="E41" s="52">
        <v>3.3241946538725156</v>
      </c>
      <c r="F41" s="54">
        <v>2910</v>
      </c>
      <c r="G41" s="53">
        <v>3119</v>
      </c>
      <c r="H41" s="53">
        <v>3407</v>
      </c>
      <c r="I41" s="53">
        <v>3468</v>
      </c>
      <c r="J41" s="79">
        <v>2856</v>
      </c>
      <c r="K41" s="53">
        <v>54</v>
      </c>
      <c r="L41" s="55">
        <v>1.8907563025210083</v>
      </c>
    </row>
    <row r="42" spans="1:12" ht="15" customHeight="1" x14ac:dyDescent="0.2">
      <c r="A42" s="59"/>
      <c r="B42" s="58"/>
      <c r="C42" s="37" t="s">
        <v>100</v>
      </c>
      <c r="E42" s="52">
        <v>58.522336769759448</v>
      </c>
      <c r="F42" s="54">
        <v>1703</v>
      </c>
      <c r="G42" s="53">
        <v>1829</v>
      </c>
      <c r="H42" s="53">
        <v>2054</v>
      </c>
      <c r="I42" s="53">
        <v>2080</v>
      </c>
      <c r="J42" s="79">
        <v>1696</v>
      </c>
      <c r="K42" s="53">
        <v>7</v>
      </c>
      <c r="L42" s="55">
        <v>0.41273584905660377</v>
      </c>
    </row>
    <row r="43" spans="1:12" ht="15" customHeight="1" x14ac:dyDescent="0.2">
      <c r="A43" s="62"/>
      <c r="B43" s="63"/>
      <c r="C43" s="99" t="s">
        <v>101</v>
      </c>
      <c r="D43" s="99"/>
      <c r="E43" s="64">
        <v>41.477663230240552</v>
      </c>
      <c r="F43" s="82">
        <v>1207</v>
      </c>
      <c r="G43" s="83">
        <v>1290</v>
      </c>
      <c r="H43" s="83">
        <v>1353</v>
      </c>
      <c r="I43" s="83">
        <v>1388</v>
      </c>
      <c r="J43" s="84">
        <v>1160</v>
      </c>
      <c r="K43" s="83">
        <v>47</v>
      </c>
      <c r="L43" s="85">
        <v>4.0517241379310347</v>
      </c>
    </row>
    <row r="44" spans="1:12" ht="45.75" customHeight="1" x14ac:dyDescent="0.25">
      <c r="A44" s="477" t="s">
        <v>188</v>
      </c>
      <c r="B44" s="478"/>
      <c r="C44" s="478"/>
      <c r="D44" s="479"/>
      <c r="E44" s="52">
        <v>2.0105094813799407</v>
      </c>
      <c r="F44" s="54">
        <v>1760</v>
      </c>
      <c r="G44" s="53">
        <v>1779</v>
      </c>
      <c r="H44" s="53">
        <v>1787</v>
      </c>
      <c r="I44" s="53">
        <v>1796</v>
      </c>
      <c r="J44" s="79">
        <v>1751</v>
      </c>
      <c r="K44" s="53">
        <v>9</v>
      </c>
      <c r="L44" s="55">
        <v>0.51399200456881777</v>
      </c>
    </row>
    <row r="45" spans="1:12" ht="15" customHeight="1" x14ac:dyDescent="0.2">
      <c r="A45" s="59"/>
      <c r="B45" s="58"/>
      <c r="C45" s="37" t="s">
        <v>100</v>
      </c>
      <c r="E45" s="52">
        <v>61.93181818181818</v>
      </c>
      <c r="F45" s="54">
        <v>1090</v>
      </c>
      <c r="G45" s="53">
        <v>1104</v>
      </c>
      <c r="H45" s="53">
        <v>1112</v>
      </c>
      <c r="I45" s="53">
        <v>1117</v>
      </c>
      <c r="J45" s="79">
        <v>1079</v>
      </c>
      <c r="K45" s="53">
        <v>11</v>
      </c>
      <c r="L45" s="55">
        <v>1.0194624652455977</v>
      </c>
    </row>
    <row r="46" spans="1:12" ht="15" customHeight="1" x14ac:dyDescent="0.2">
      <c r="A46" s="62"/>
      <c r="B46" s="63"/>
      <c r="C46" s="99" t="s">
        <v>101</v>
      </c>
      <c r="D46" s="99"/>
      <c r="E46" s="64">
        <v>38.06818181818182</v>
      </c>
      <c r="F46" s="82">
        <v>670</v>
      </c>
      <c r="G46" s="83">
        <v>675</v>
      </c>
      <c r="H46" s="83">
        <v>675</v>
      </c>
      <c r="I46" s="83">
        <v>679</v>
      </c>
      <c r="J46" s="84">
        <v>672</v>
      </c>
      <c r="K46" s="83">
        <v>-2</v>
      </c>
      <c r="L46" s="85">
        <v>-0.29761904761904762</v>
      </c>
    </row>
    <row r="47" spans="1:12" ht="39" customHeight="1" x14ac:dyDescent="0.2">
      <c r="A47" s="477" t="s">
        <v>554</v>
      </c>
      <c r="B47" s="474"/>
      <c r="C47" s="474"/>
      <c r="D47" s="480"/>
      <c r="E47" s="52">
        <v>0.38725154215215901</v>
      </c>
      <c r="F47" s="54">
        <v>339</v>
      </c>
      <c r="G47" s="53">
        <v>342</v>
      </c>
      <c r="H47" s="53">
        <v>374</v>
      </c>
      <c r="I47" s="53">
        <v>360</v>
      </c>
      <c r="J47" s="79">
        <v>340</v>
      </c>
      <c r="K47" s="53">
        <v>-1</v>
      </c>
      <c r="L47" s="55">
        <v>-0.29411764705882354</v>
      </c>
    </row>
    <row r="48" spans="1:12" ht="15" customHeight="1" x14ac:dyDescent="0.2">
      <c r="A48" s="59"/>
      <c r="B48" s="58"/>
      <c r="C48" s="37" t="s">
        <v>100</v>
      </c>
      <c r="E48" s="52">
        <v>44.247787610619469</v>
      </c>
      <c r="F48" s="54">
        <v>150</v>
      </c>
      <c r="G48" s="53">
        <v>146</v>
      </c>
      <c r="H48" s="53">
        <v>161</v>
      </c>
      <c r="I48" s="53">
        <v>152</v>
      </c>
      <c r="J48" s="79">
        <v>167</v>
      </c>
      <c r="K48" s="53">
        <v>-17</v>
      </c>
      <c r="L48" s="55">
        <v>-10.179640718562874</v>
      </c>
    </row>
    <row r="49" spans="1:12" ht="15" customHeight="1" x14ac:dyDescent="0.2">
      <c r="A49" s="62"/>
      <c r="B49" s="63"/>
      <c r="C49" s="99" t="s">
        <v>101</v>
      </c>
      <c r="D49" s="99"/>
      <c r="E49" s="64">
        <v>55.752212389380531</v>
      </c>
      <c r="F49" s="82">
        <v>189</v>
      </c>
      <c r="G49" s="83">
        <v>196</v>
      </c>
      <c r="H49" s="83">
        <v>213</v>
      </c>
      <c r="I49" s="83">
        <v>208</v>
      </c>
      <c r="J49" s="84">
        <v>173</v>
      </c>
      <c r="K49" s="83">
        <v>16</v>
      </c>
      <c r="L49" s="85">
        <v>9.2485549132947984</v>
      </c>
    </row>
    <row r="50" spans="1:12" ht="25" customHeight="1" x14ac:dyDescent="0.25">
      <c r="A50" s="481" t="s">
        <v>189</v>
      </c>
      <c r="B50" s="482"/>
      <c r="C50" s="482"/>
      <c r="D50" s="483"/>
      <c r="E50" s="172">
        <v>7.3075165638565229</v>
      </c>
      <c r="F50" s="173">
        <v>6397</v>
      </c>
      <c r="G50" s="174">
        <v>6466</v>
      </c>
      <c r="H50" s="174">
        <v>6792</v>
      </c>
      <c r="I50" s="174">
        <v>6932</v>
      </c>
      <c r="J50" s="175">
        <v>6145</v>
      </c>
      <c r="K50" s="173">
        <v>252</v>
      </c>
      <c r="L50" s="176">
        <v>4.1008950366151344</v>
      </c>
    </row>
    <row r="51" spans="1:12" ht="15" customHeight="1" x14ac:dyDescent="0.2">
      <c r="A51" s="59"/>
      <c r="B51" s="58"/>
      <c r="C51" s="37" t="s">
        <v>100</v>
      </c>
      <c r="E51" s="52">
        <v>57.464436454588089</v>
      </c>
      <c r="F51" s="54">
        <v>3676</v>
      </c>
      <c r="G51" s="53">
        <v>3690</v>
      </c>
      <c r="H51" s="53">
        <v>3903</v>
      </c>
      <c r="I51" s="53">
        <v>4002</v>
      </c>
      <c r="J51" s="79">
        <v>3540</v>
      </c>
      <c r="K51" s="53">
        <v>136</v>
      </c>
      <c r="L51" s="55">
        <v>3.8418079096045199</v>
      </c>
    </row>
    <row r="52" spans="1:12" ht="15" customHeight="1" x14ac:dyDescent="0.2">
      <c r="A52" s="59"/>
      <c r="B52" s="58"/>
      <c r="C52" s="37" t="s">
        <v>101</v>
      </c>
      <c r="E52" s="52">
        <v>42.535563545411911</v>
      </c>
      <c r="F52" s="54">
        <v>2721</v>
      </c>
      <c r="G52" s="53">
        <v>2776</v>
      </c>
      <c r="H52" s="53">
        <v>2889</v>
      </c>
      <c r="I52" s="53">
        <v>2930</v>
      </c>
      <c r="J52" s="79">
        <v>2605</v>
      </c>
      <c r="K52" s="53">
        <v>116</v>
      </c>
      <c r="L52" s="55">
        <v>4.4529750479846451</v>
      </c>
    </row>
    <row r="53" spans="1:12" ht="15" customHeight="1" x14ac:dyDescent="0.2">
      <c r="A53" s="59"/>
      <c r="B53" s="58"/>
      <c r="C53" s="37" t="s">
        <v>184</v>
      </c>
      <c r="D53" s="37" t="s">
        <v>190</v>
      </c>
      <c r="E53" s="52">
        <v>33.937783335938718</v>
      </c>
      <c r="F53" s="54">
        <v>2171</v>
      </c>
      <c r="G53" s="53">
        <v>2401</v>
      </c>
      <c r="H53" s="53">
        <v>2683</v>
      </c>
      <c r="I53" s="53">
        <v>2792</v>
      </c>
      <c r="J53" s="79">
        <v>2092</v>
      </c>
      <c r="K53" s="53">
        <v>79</v>
      </c>
      <c r="L53" s="55">
        <v>3.7762906309751436</v>
      </c>
    </row>
    <row r="54" spans="1:12" ht="15" customHeight="1" x14ac:dyDescent="0.2">
      <c r="A54" s="59"/>
      <c r="B54" s="58"/>
      <c r="D54" s="171" t="s">
        <v>191</v>
      </c>
      <c r="E54" s="52">
        <v>61.6305849838784</v>
      </c>
      <c r="F54" s="54">
        <v>1338</v>
      </c>
      <c r="G54" s="53">
        <v>1444</v>
      </c>
      <c r="H54" s="53">
        <v>1626</v>
      </c>
      <c r="I54" s="53">
        <v>1692</v>
      </c>
      <c r="J54" s="79">
        <v>1285</v>
      </c>
      <c r="K54" s="53">
        <v>53</v>
      </c>
      <c r="L54" s="55">
        <v>4.1245136186770424</v>
      </c>
    </row>
    <row r="55" spans="1:12" ht="15" customHeight="1" x14ac:dyDescent="0.2">
      <c r="A55" s="59"/>
      <c r="B55" s="58"/>
      <c r="D55" s="171" t="s">
        <v>192</v>
      </c>
      <c r="E55" s="52">
        <v>38.3694150161216</v>
      </c>
      <c r="F55" s="54">
        <v>833</v>
      </c>
      <c r="G55" s="53">
        <v>957</v>
      </c>
      <c r="H55" s="53">
        <v>1057</v>
      </c>
      <c r="I55" s="53">
        <v>1100</v>
      </c>
      <c r="J55" s="79">
        <v>807</v>
      </c>
      <c r="K55" s="53">
        <v>26</v>
      </c>
      <c r="L55" s="55">
        <v>3.2218091697645601</v>
      </c>
    </row>
    <row r="56" spans="1:12" ht="15" customHeight="1" x14ac:dyDescent="0.2">
      <c r="A56" s="59"/>
      <c r="B56" s="58" t="s">
        <v>193</v>
      </c>
      <c r="E56" s="52">
        <v>72.234407128169977</v>
      </c>
      <c r="F56" s="54">
        <v>63234</v>
      </c>
      <c r="G56" s="53">
        <v>63035</v>
      </c>
      <c r="H56" s="53">
        <v>63618</v>
      </c>
      <c r="I56" s="53">
        <v>64317</v>
      </c>
      <c r="J56" s="79">
        <v>64184</v>
      </c>
      <c r="K56" s="53">
        <v>-950</v>
      </c>
      <c r="L56" s="55">
        <v>-1.4801196559890315</v>
      </c>
    </row>
    <row r="57" spans="1:12" ht="15" customHeight="1" x14ac:dyDescent="0.2">
      <c r="A57" s="59"/>
      <c r="B57" s="58"/>
      <c r="C57" s="37" t="s">
        <v>100</v>
      </c>
      <c r="E57" s="52">
        <v>49.685295885125093</v>
      </c>
      <c r="F57" s="54">
        <v>31418</v>
      </c>
      <c r="G57" s="53">
        <v>31179</v>
      </c>
      <c r="H57" s="53">
        <v>31442</v>
      </c>
      <c r="I57" s="53">
        <v>31854</v>
      </c>
      <c r="J57" s="79">
        <v>31798</v>
      </c>
      <c r="K57" s="53">
        <v>-380</v>
      </c>
      <c r="L57" s="55">
        <v>-1.1950437134410969</v>
      </c>
    </row>
    <row r="58" spans="1:12" ht="15" customHeight="1" x14ac:dyDescent="0.2">
      <c r="A58" s="59"/>
      <c r="B58" s="58"/>
      <c r="C58" s="37" t="s">
        <v>101</v>
      </c>
      <c r="E58" s="52">
        <v>50.314704114874907</v>
      </c>
      <c r="F58" s="54">
        <v>31816</v>
      </c>
      <c r="G58" s="53">
        <v>31856</v>
      </c>
      <c r="H58" s="53">
        <v>32176</v>
      </c>
      <c r="I58" s="53">
        <v>32463</v>
      </c>
      <c r="J58" s="79">
        <v>32386</v>
      </c>
      <c r="K58" s="53">
        <v>-570</v>
      </c>
      <c r="L58" s="55">
        <v>-1.7600197616253936</v>
      </c>
    </row>
    <row r="59" spans="1:12" ht="15" customHeight="1" x14ac:dyDescent="0.2">
      <c r="A59" s="59"/>
      <c r="B59" s="58"/>
      <c r="C59" s="37" t="s">
        <v>99</v>
      </c>
      <c r="D59" s="37" t="s">
        <v>194</v>
      </c>
      <c r="E59" s="52">
        <v>90.679065059936107</v>
      </c>
      <c r="F59" s="54">
        <v>57340</v>
      </c>
      <c r="G59" s="53">
        <v>57152</v>
      </c>
      <c r="H59" s="53">
        <v>57691</v>
      </c>
      <c r="I59" s="53">
        <v>58370</v>
      </c>
      <c r="J59" s="79">
        <v>58210</v>
      </c>
      <c r="K59" s="53">
        <v>-870</v>
      </c>
      <c r="L59" s="55">
        <v>-1.4945885586668957</v>
      </c>
    </row>
    <row r="60" spans="1:12" ht="15" customHeight="1" x14ac:dyDescent="0.2">
      <c r="A60" s="59"/>
      <c r="B60" s="58"/>
      <c r="D60" s="171" t="s">
        <v>195</v>
      </c>
      <c r="E60" s="52">
        <v>49.61283571677712</v>
      </c>
      <c r="F60" s="54">
        <v>28448</v>
      </c>
      <c r="G60" s="53">
        <v>28233</v>
      </c>
      <c r="H60" s="53">
        <v>28488</v>
      </c>
      <c r="I60" s="53">
        <v>28894</v>
      </c>
      <c r="J60" s="79">
        <v>28820</v>
      </c>
      <c r="K60" s="53">
        <v>-372</v>
      </c>
      <c r="L60" s="55">
        <v>-1.2907702984038862</v>
      </c>
    </row>
    <row r="61" spans="1:12" ht="15" customHeight="1" x14ac:dyDescent="0.2">
      <c r="A61" s="59"/>
      <c r="B61" s="58"/>
      <c r="D61" s="171" t="s">
        <v>196</v>
      </c>
      <c r="E61" s="52">
        <v>50.38716428322288</v>
      </c>
      <c r="F61" s="54">
        <v>28892</v>
      </c>
      <c r="G61" s="53">
        <v>28919</v>
      </c>
      <c r="H61" s="53">
        <v>29203</v>
      </c>
      <c r="I61" s="53">
        <v>29476</v>
      </c>
      <c r="J61" s="79">
        <v>29390</v>
      </c>
      <c r="K61" s="53">
        <v>-498</v>
      </c>
      <c r="L61" s="55">
        <v>-1.6944538958829534</v>
      </c>
    </row>
    <row r="62" spans="1:12" ht="15" customHeight="1" x14ac:dyDescent="0.2">
      <c r="A62" s="59"/>
      <c r="B62" s="58"/>
      <c r="D62" s="37" t="s">
        <v>197</v>
      </c>
      <c r="E62" s="52">
        <v>9.3209349400638892</v>
      </c>
      <c r="F62" s="54">
        <v>5894</v>
      </c>
      <c r="G62" s="53">
        <v>5883</v>
      </c>
      <c r="H62" s="53">
        <v>5927</v>
      </c>
      <c r="I62" s="53">
        <v>5947</v>
      </c>
      <c r="J62" s="79">
        <v>5974</v>
      </c>
      <c r="K62" s="53">
        <v>-80</v>
      </c>
      <c r="L62" s="55">
        <v>-1.3391362571141614</v>
      </c>
    </row>
    <row r="63" spans="1:12" ht="15" customHeight="1" x14ac:dyDescent="0.2">
      <c r="A63" s="59"/>
      <c r="B63" s="58"/>
      <c r="D63" s="171" t="s">
        <v>195</v>
      </c>
      <c r="E63" s="52">
        <v>50.390227349847301</v>
      </c>
      <c r="F63" s="54">
        <v>2970</v>
      </c>
      <c r="G63" s="53">
        <v>2946</v>
      </c>
      <c r="H63" s="53">
        <v>2954</v>
      </c>
      <c r="I63" s="53">
        <v>2960</v>
      </c>
      <c r="J63" s="79">
        <v>2978</v>
      </c>
      <c r="K63" s="53">
        <v>-8</v>
      </c>
      <c r="L63" s="55">
        <v>-0.26863666890530558</v>
      </c>
    </row>
    <row r="64" spans="1:12" ht="15" customHeight="1" x14ac:dyDescent="0.2">
      <c r="A64" s="59"/>
      <c r="B64" s="58"/>
      <c r="D64" s="171" t="s">
        <v>196</v>
      </c>
      <c r="E64" s="52">
        <v>49.609772650152699</v>
      </c>
      <c r="F64" s="54">
        <v>2924</v>
      </c>
      <c r="G64" s="53">
        <v>2937</v>
      </c>
      <c r="H64" s="53">
        <v>2973</v>
      </c>
      <c r="I64" s="53">
        <v>2987</v>
      </c>
      <c r="J64" s="79">
        <v>2996</v>
      </c>
      <c r="K64" s="53">
        <v>-72</v>
      </c>
      <c r="L64" s="55">
        <v>-2.4032042723631508</v>
      </c>
    </row>
    <row r="65" spans="1:12" ht="15" customHeight="1" x14ac:dyDescent="0.2">
      <c r="A65" s="59"/>
      <c r="B65" s="58" t="s">
        <v>198</v>
      </c>
      <c r="E65" s="52">
        <v>13.56636965958419</v>
      </c>
      <c r="F65" s="54">
        <v>11876</v>
      </c>
      <c r="G65" s="53">
        <v>11855</v>
      </c>
      <c r="H65" s="53">
        <v>11932</v>
      </c>
      <c r="I65" s="53">
        <v>11910</v>
      </c>
      <c r="J65" s="79">
        <v>11919</v>
      </c>
      <c r="K65" s="53">
        <v>-43</v>
      </c>
      <c r="L65" s="55">
        <v>-0.36076852084906452</v>
      </c>
    </row>
    <row r="66" spans="1:12" ht="15" customHeight="1" x14ac:dyDescent="0.2">
      <c r="A66" s="59"/>
      <c r="B66" s="58"/>
      <c r="C66" s="37" t="s">
        <v>100</v>
      </c>
      <c r="E66" s="52">
        <v>42.16066015493432</v>
      </c>
      <c r="F66" s="54">
        <v>5007</v>
      </c>
      <c r="G66" s="53">
        <v>4971</v>
      </c>
      <c r="H66" s="53">
        <v>4991</v>
      </c>
      <c r="I66" s="53">
        <v>5005</v>
      </c>
      <c r="J66" s="79">
        <v>5013</v>
      </c>
      <c r="K66" s="53">
        <v>-6</v>
      </c>
      <c r="L66" s="55">
        <v>-0.11968880909634949</v>
      </c>
    </row>
    <row r="67" spans="1:12" ht="15" customHeight="1" x14ac:dyDescent="0.2">
      <c r="A67" s="59"/>
      <c r="B67" s="58"/>
      <c r="C67" s="37" t="s">
        <v>101</v>
      </c>
      <c r="E67" s="52">
        <v>57.83933984506568</v>
      </c>
      <c r="F67" s="54">
        <v>6869</v>
      </c>
      <c r="G67" s="53">
        <v>6884</v>
      </c>
      <c r="H67" s="53">
        <v>6941</v>
      </c>
      <c r="I67" s="53">
        <v>6905</v>
      </c>
      <c r="J67" s="79">
        <v>6906</v>
      </c>
      <c r="K67" s="53">
        <v>-37</v>
      </c>
      <c r="L67" s="55">
        <v>-0.53576600057920654</v>
      </c>
    </row>
    <row r="68" spans="1:12" ht="15" customHeight="1" x14ac:dyDescent="0.2">
      <c r="A68" s="59"/>
      <c r="B68" s="58"/>
      <c r="C68" s="37" t="s">
        <v>99</v>
      </c>
      <c r="D68" s="37" t="s">
        <v>199</v>
      </c>
      <c r="E68" s="52">
        <v>16.54597507578309</v>
      </c>
      <c r="F68" s="54">
        <v>1965</v>
      </c>
      <c r="G68" s="53">
        <v>1919</v>
      </c>
      <c r="H68" s="53">
        <v>1887</v>
      </c>
      <c r="I68" s="53">
        <v>1845</v>
      </c>
      <c r="J68" s="79">
        <v>1791</v>
      </c>
      <c r="K68" s="53">
        <v>174</v>
      </c>
      <c r="L68" s="55">
        <v>9.7152428810720259</v>
      </c>
    </row>
    <row r="69" spans="1:12" ht="15" customHeight="1" x14ac:dyDescent="0.2">
      <c r="A69" s="59"/>
      <c r="B69" s="58"/>
      <c r="D69" s="171" t="s">
        <v>195</v>
      </c>
      <c r="E69" s="52">
        <v>33.486005089058523</v>
      </c>
      <c r="F69" s="54">
        <v>658</v>
      </c>
      <c r="G69" s="53">
        <v>644</v>
      </c>
      <c r="H69" s="53">
        <v>644</v>
      </c>
      <c r="I69" s="53">
        <v>625</v>
      </c>
      <c r="J69" s="79">
        <v>605</v>
      </c>
      <c r="K69" s="53">
        <v>53</v>
      </c>
      <c r="L69" s="55">
        <v>8.7603305785123968</v>
      </c>
    </row>
    <row r="70" spans="1:12" ht="15" customHeight="1" x14ac:dyDescent="0.2">
      <c r="A70" s="59"/>
      <c r="B70" s="58"/>
      <c r="D70" s="171" t="s">
        <v>196</v>
      </c>
      <c r="E70" s="52">
        <v>66.513994910941477</v>
      </c>
      <c r="F70" s="54">
        <v>1307</v>
      </c>
      <c r="G70" s="53">
        <v>1275</v>
      </c>
      <c r="H70" s="53">
        <v>1243</v>
      </c>
      <c r="I70" s="53">
        <v>1220</v>
      </c>
      <c r="J70" s="79">
        <v>1186</v>
      </c>
      <c r="K70" s="53">
        <v>121</v>
      </c>
      <c r="L70" s="55">
        <v>10.202360876897133</v>
      </c>
    </row>
    <row r="71" spans="1:12" ht="15" customHeight="1" x14ac:dyDescent="0.2">
      <c r="A71" s="59"/>
      <c r="B71" s="58"/>
      <c r="D71" s="37" t="s">
        <v>200</v>
      </c>
      <c r="E71" s="52">
        <v>79.227012462108448</v>
      </c>
      <c r="F71" s="54">
        <v>9409</v>
      </c>
      <c r="G71" s="53">
        <v>9436</v>
      </c>
      <c r="H71" s="53">
        <v>9544</v>
      </c>
      <c r="I71" s="53">
        <v>9559</v>
      </c>
      <c r="J71" s="79">
        <v>9638</v>
      </c>
      <c r="K71" s="53">
        <v>-229</v>
      </c>
      <c r="L71" s="55">
        <v>-2.3760116206681885</v>
      </c>
    </row>
    <row r="72" spans="1:12" ht="15" customHeight="1" x14ac:dyDescent="0.2">
      <c r="A72" s="59"/>
      <c r="B72" s="58"/>
      <c r="D72" s="171" t="s">
        <v>195</v>
      </c>
      <c r="E72" s="52">
        <v>43.160803486024022</v>
      </c>
      <c r="F72" s="54">
        <v>4061</v>
      </c>
      <c r="G72" s="53">
        <v>4039</v>
      </c>
      <c r="H72" s="53">
        <v>4060</v>
      </c>
      <c r="I72" s="53">
        <v>4086</v>
      </c>
      <c r="J72" s="79">
        <v>4128</v>
      </c>
      <c r="K72" s="53">
        <v>-67</v>
      </c>
      <c r="L72" s="55">
        <v>-1.623062015503876</v>
      </c>
    </row>
    <row r="73" spans="1:12" ht="15" customHeight="1" x14ac:dyDescent="0.2">
      <c r="A73" s="59"/>
      <c r="B73" s="58"/>
      <c r="D73" s="171" t="s">
        <v>196</v>
      </c>
      <c r="E73" s="52">
        <v>56.839196513975978</v>
      </c>
      <c r="F73" s="54">
        <v>5348</v>
      </c>
      <c r="G73" s="53">
        <v>5397</v>
      </c>
      <c r="H73" s="53">
        <v>5484</v>
      </c>
      <c r="I73" s="53">
        <v>5473</v>
      </c>
      <c r="J73" s="79">
        <v>5510</v>
      </c>
      <c r="K73" s="53">
        <v>-162</v>
      </c>
      <c r="L73" s="55">
        <v>-2.9401088929219599</v>
      </c>
    </row>
    <row r="74" spans="1:12" ht="15" customHeight="1" x14ac:dyDescent="0.2">
      <c r="A74" s="59"/>
      <c r="B74" s="58"/>
      <c r="D74" s="37" t="s">
        <v>201</v>
      </c>
      <c r="E74" s="52">
        <v>4.2270124621084539</v>
      </c>
      <c r="F74" s="54">
        <v>502</v>
      </c>
      <c r="G74" s="53">
        <v>500</v>
      </c>
      <c r="H74" s="53">
        <v>501</v>
      </c>
      <c r="I74" s="53">
        <v>506</v>
      </c>
      <c r="J74" s="79">
        <v>490</v>
      </c>
      <c r="K74" s="53">
        <v>12</v>
      </c>
      <c r="L74" s="55">
        <v>2.4489795918367347</v>
      </c>
    </row>
    <row r="75" spans="1:12" ht="15" customHeight="1" x14ac:dyDescent="0.2">
      <c r="A75" s="59"/>
      <c r="B75" s="58"/>
      <c r="D75" s="171" t="s">
        <v>195</v>
      </c>
      <c r="E75" s="52">
        <v>57.370517928286851</v>
      </c>
      <c r="F75" s="54">
        <v>288</v>
      </c>
      <c r="G75" s="53">
        <v>288</v>
      </c>
      <c r="H75" s="53">
        <v>287</v>
      </c>
      <c r="I75" s="53">
        <v>294</v>
      </c>
      <c r="J75" s="79">
        <v>280</v>
      </c>
      <c r="K75" s="53">
        <v>8</v>
      </c>
      <c r="L75" s="55">
        <v>2.8571428571428572</v>
      </c>
    </row>
    <row r="76" spans="1:12" ht="15" customHeight="1" x14ac:dyDescent="0.2">
      <c r="A76" s="59"/>
      <c r="B76" s="58"/>
      <c r="D76" s="171" t="s">
        <v>196</v>
      </c>
      <c r="E76" s="52">
        <v>42.629482071713149</v>
      </c>
      <c r="F76" s="54">
        <v>214</v>
      </c>
      <c r="G76" s="53">
        <v>212</v>
      </c>
      <c r="H76" s="53">
        <v>214</v>
      </c>
      <c r="I76" s="53">
        <v>212</v>
      </c>
      <c r="J76" s="79">
        <v>210</v>
      </c>
      <c r="K76" s="53">
        <v>4</v>
      </c>
      <c r="L76" s="55">
        <v>1.9047619047619047</v>
      </c>
    </row>
    <row r="77" spans="1:12" ht="15" customHeight="1" x14ac:dyDescent="0.2">
      <c r="A77" s="59"/>
      <c r="B77" s="58" t="s">
        <v>202</v>
      </c>
      <c r="E77" s="52">
        <v>6.8917066483893077</v>
      </c>
      <c r="F77" s="54">
        <v>6033</v>
      </c>
      <c r="G77" s="53">
        <v>5999</v>
      </c>
      <c r="H77" s="53">
        <v>5995</v>
      </c>
      <c r="I77" s="53">
        <v>6143</v>
      </c>
      <c r="J77" s="79">
        <v>6017</v>
      </c>
      <c r="K77" s="53">
        <v>16</v>
      </c>
      <c r="L77" s="55">
        <v>0.26591324580355657</v>
      </c>
    </row>
    <row r="78" spans="1:12" ht="15" customHeight="1" x14ac:dyDescent="0.2">
      <c r="A78" s="59"/>
      <c r="B78" s="58"/>
      <c r="C78" s="37" t="s">
        <v>100</v>
      </c>
      <c r="E78" s="52">
        <v>58.36234046079894</v>
      </c>
      <c r="F78" s="54">
        <v>3521</v>
      </c>
      <c r="G78" s="53">
        <v>3503</v>
      </c>
      <c r="H78" s="53">
        <v>3494</v>
      </c>
      <c r="I78" s="53">
        <v>3571</v>
      </c>
      <c r="J78" s="79">
        <v>3486</v>
      </c>
      <c r="K78" s="53">
        <v>35</v>
      </c>
      <c r="L78" s="55">
        <v>1.0040160642570282</v>
      </c>
    </row>
    <row r="79" spans="1:12" ht="15" customHeight="1" x14ac:dyDescent="0.2">
      <c r="A79" s="62"/>
      <c r="B79" s="63"/>
      <c r="C79" s="99" t="s">
        <v>101</v>
      </c>
      <c r="D79" s="99"/>
      <c r="E79" s="64">
        <v>41.63765953920106</v>
      </c>
      <c r="F79" s="82">
        <v>2512</v>
      </c>
      <c r="G79" s="83">
        <v>2496</v>
      </c>
      <c r="H79" s="83">
        <v>2501</v>
      </c>
      <c r="I79" s="83">
        <v>2572</v>
      </c>
      <c r="J79" s="84">
        <v>2531</v>
      </c>
      <c r="K79" s="83">
        <v>-19</v>
      </c>
      <c r="L79" s="85">
        <v>-0.75069142631371</v>
      </c>
    </row>
    <row r="80" spans="1:12" s="87" customFormat="1" ht="11.25" customHeight="1" x14ac:dyDescent="0.2">
      <c r="L80" s="88" t="s">
        <v>37</v>
      </c>
    </row>
    <row r="81" spans="1:12" s="60" customFormat="1" ht="12.75" customHeight="1" x14ac:dyDescent="0.2">
      <c r="A81" s="87" t="s">
        <v>203</v>
      </c>
    </row>
    <row r="82" spans="1:12" s="60" customFormat="1" ht="12.75" customHeight="1" x14ac:dyDescent="0.2">
      <c r="A82" s="87" t="s">
        <v>204</v>
      </c>
      <c r="B82" s="177"/>
      <c r="C82" s="177"/>
      <c r="D82" s="177"/>
      <c r="E82" s="177"/>
      <c r="F82" s="177"/>
      <c r="G82" s="177"/>
      <c r="H82" s="177"/>
      <c r="I82" s="177"/>
      <c r="J82" s="177"/>
      <c r="K82" s="177"/>
      <c r="L82" s="177"/>
    </row>
    <row r="83" spans="1:12" s="60" customFormat="1" ht="12.75" customHeight="1" x14ac:dyDescent="0.2">
      <c r="A83" s="87" t="s">
        <v>205</v>
      </c>
    </row>
    <row r="84" spans="1:12" s="60" customFormat="1" ht="12.75" customHeight="1" x14ac:dyDescent="0.2">
      <c r="A84" s="87" t="s">
        <v>206</v>
      </c>
    </row>
    <row r="85" spans="1:12" s="60" customFormat="1" ht="21" customHeight="1" x14ac:dyDescent="0.2">
      <c r="A85" s="440" t="s">
        <v>117</v>
      </c>
      <c r="B85" s="440"/>
      <c r="C85" s="440"/>
      <c r="D85" s="440"/>
      <c r="E85" s="440"/>
      <c r="F85" s="440"/>
      <c r="G85" s="440"/>
      <c r="H85" s="440"/>
      <c r="I85" s="440"/>
      <c r="J85" s="440"/>
      <c r="K85" s="440"/>
      <c r="L85" s="440"/>
    </row>
    <row r="86" spans="1:12" s="87" customFormat="1" ht="12.75" customHeight="1" x14ac:dyDescent="0.2">
      <c r="A86" s="440" t="s">
        <v>207</v>
      </c>
      <c r="B86" s="440"/>
      <c r="C86" s="440"/>
      <c r="D86" s="440"/>
      <c r="E86" s="440"/>
      <c r="F86" s="440"/>
      <c r="G86" s="440"/>
      <c r="H86" s="440"/>
      <c r="I86" s="440"/>
      <c r="J86" s="440"/>
      <c r="K86" s="440"/>
      <c r="L86" s="440"/>
    </row>
    <row r="87" spans="1:12" s="60" customFormat="1" ht="12.75" customHeight="1" x14ac:dyDescent="0.2"/>
    <row r="88" spans="1:12" s="60" customFormat="1" ht="12.75" customHeight="1" x14ac:dyDescent="0.2"/>
    <row r="89" spans="1:12" ht="12.75" customHeight="1" x14ac:dyDescent="0.2">
      <c r="E89" s="37"/>
      <c r="F89" s="37"/>
      <c r="G89" s="37"/>
      <c r="H89" s="37"/>
      <c r="I89" s="37"/>
      <c r="J89" s="37"/>
      <c r="K89" s="178"/>
      <c r="L89" s="37"/>
    </row>
    <row r="90" spans="1:12" ht="12.75" customHeight="1" x14ac:dyDescent="0.2">
      <c r="E90" s="37"/>
      <c r="F90" s="37"/>
      <c r="G90" s="37"/>
      <c r="H90" s="37"/>
      <c r="I90" s="37"/>
      <c r="J90" s="37"/>
      <c r="K90" s="178"/>
      <c r="L90" s="37"/>
    </row>
    <row r="91" spans="1:12" ht="16" customHeight="1" x14ac:dyDescent="0.2">
      <c r="E91" s="37"/>
      <c r="F91" s="37"/>
      <c r="G91" s="37"/>
      <c r="H91" s="37"/>
      <c r="I91" s="37"/>
      <c r="J91" s="37"/>
      <c r="K91" s="178"/>
      <c r="L91" s="37"/>
    </row>
    <row r="92" spans="1:12" ht="16" customHeight="1" x14ac:dyDescent="0.2">
      <c r="E92" s="37"/>
      <c r="F92" s="37"/>
      <c r="G92" s="37"/>
      <c r="H92" s="37"/>
      <c r="I92" s="37"/>
      <c r="J92" s="37"/>
      <c r="K92" s="178"/>
      <c r="L92" s="37"/>
    </row>
    <row r="93" spans="1:12" ht="16" customHeight="1" x14ac:dyDescent="0.2">
      <c r="E93" s="37"/>
      <c r="F93" s="37"/>
      <c r="G93" s="37"/>
      <c r="H93" s="37"/>
      <c r="I93" s="37"/>
      <c r="J93" s="37"/>
      <c r="K93" s="178"/>
      <c r="L93" s="37"/>
    </row>
    <row r="94" spans="1:12" ht="16" customHeight="1" x14ac:dyDescent="0.2">
      <c r="E94" s="37"/>
      <c r="F94" s="37"/>
      <c r="G94" s="37"/>
      <c r="H94" s="37"/>
      <c r="I94" s="37"/>
      <c r="J94" s="37"/>
      <c r="K94" s="178"/>
      <c r="L94" s="37"/>
    </row>
    <row r="95" spans="1:12" ht="16" customHeight="1" x14ac:dyDescent="0.2">
      <c r="E95" s="37"/>
      <c r="F95" s="37"/>
      <c r="G95" s="37"/>
      <c r="H95" s="37"/>
      <c r="I95" s="37"/>
      <c r="J95" s="37"/>
      <c r="K95" s="178"/>
      <c r="L95" s="37"/>
    </row>
    <row r="96" spans="1:12" ht="16" customHeight="1" x14ac:dyDescent="0.2">
      <c r="E96" s="37"/>
      <c r="F96" s="37"/>
      <c r="G96" s="37"/>
      <c r="H96" s="37"/>
      <c r="I96" s="37"/>
      <c r="J96" s="37"/>
      <c r="K96" s="178"/>
      <c r="L96" s="37"/>
    </row>
    <row r="97" spans="11:11" s="37" customFormat="1" ht="16" customHeight="1" x14ac:dyDescent="0.2">
      <c r="K97" s="178"/>
    </row>
    <row r="98" spans="11:11" s="37" customFormat="1" ht="16" customHeight="1" x14ac:dyDescent="0.2">
      <c r="K98" s="178"/>
    </row>
    <row r="99" spans="11:11" s="37" customFormat="1" ht="16" customHeight="1" x14ac:dyDescent="0.2">
      <c r="K99" s="178"/>
    </row>
    <row r="100" spans="11:11" s="37" customFormat="1" ht="16" customHeight="1" x14ac:dyDescent="0.2">
      <c r="K100" s="178"/>
    </row>
    <row r="101" spans="11:11" s="37" customFormat="1" ht="16" customHeight="1" x14ac:dyDescent="0.2">
      <c r="K101" s="178"/>
    </row>
    <row r="102" spans="11:11" s="37" customFormat="1" ht="16" customHeight="1" x14ac:dyDescent="0.2">
      <c r="K102" s="178"/>
    </row>
    <row r="103" spans="11:11" s="37" customFormat="1" ht="16" customHeight="1" x14ac:dyDescent="0.2">
      <c r="K103" s="178"/>
    </row>
    <row r="104" spans="11:11" s="37" customFormat="1" ht="16" customHeight="1" x14ac:dyDescent="0.2">
      <c r="K104" s="178"/>
    </row>
    <row r="105" spans="11:11" s="37" customFormat="1" ht="16" customHeight="1" x14ac:dyDescent="0.2">
      <c r="K105" s="178"/>
    </row>
    <row r="106" spans="11:11" s="37" customFormat="1" ht="16" customHeight="1" x14ac:dyDescent="0.2">
      <c r="K106" s="178"/>
    </row>
    <row r="107" spans="11:11" s="37" customFormat="1" ht="16" customHeight="1" x14ac:dyDescent="0.2">
      <c r="K107" s="178"/>
    </row>
    <row r="108" spans="11:11" s="37" customFormat="1" ht="16" customHeight="1" x14ac:dyDescent="0.2">
      <c r="K108" s="178"/>
    </row>
    <row r="109" spans="11:11" s="37" customFormat="1" ht="16" customHeight="1" x14ac:dyDescent="0.2">
      <c r="K109" s="178"/>
    </row>
    <row r="110" spans="11:11" s="37" customFormat="1" ht="16" customHeight="1" x14ac:dyDescent="0.2">
      <c r="K110" s="178"/>
    </row>
    <row r="111" spans="11:11" s="37" customFormat="1" ht="16" customHeight="1" x14ac:dyDescent="0.2">
      <c r="K111" s="178"/>
    </row>
    <row r="112" spans="11:11" s="37" customFormat="1" ht="16" customHeight="1" x14ac:dyDescent="0.2">
      <c r="K112" s="178"/>
    </row>
    <row r="113" spans="11:11" s="37" customFormat="1" ht="16" customHeight="1" x14ac:dyDescent="0.2">
      <c r="K113" s="178"/>
    </row>
    <row r="114" spans="11:11" s="37" customFormat="1" ht="16" customHeight="1" x14ac:dyDescent="0.2">
      <c r="K114" s="178"/>
    </row>
    <row r="115" spans="11:11" s="37" customFormat="1" ht="16" customHeight="1" x14ac:dyDescent="0.2">
      <c r="K115" s="178"/>
    </row>
    <row r="116" spans="11:11" s="37" customFormat="1" ht="16" customHeight="1" x14ac:dyDescent="0.2">
      <c r="K116" s="178"/>
    </row>
    <row r="117" spans="11:11" s="37" customFormat="1" ht="16" customHeight="1" x14ac:dyDescent="0.2">
      <c r="K117" s="178"/>
    </row>
    <row r="118" spans="11:11" s="37" customFormat="1" ht="16" customHeight="1" x14ac:dyDescent="0.2">
      <c r="K118" s="178"/>
    </row>
    <row r="119" spans="11:11" s="37" customFormat="1" ht="16" customHeight="1" x14ac:dyDescent="0.2">
      <c r="K119" s="178"/>
    </row>
    <row r="120" spans="11:11" s="37" customFormat="1" ht="16" customHeight="1" x14ac:dyDescent="0.2">
      <c r="K120" s="178"/>
    </row>
    <row r="121" spans="11:11" s="37" customFormat="1" ht="16" customHeight="1" x14ac:dyDescent="0.2">
      <c r="K121" s="178"/>
    </row>
    <row r="122" spans="11:11" s="37" customFormat="1" ht="16" customHeight="1" x14ac:dyDescent="0.2">
      <c r="K122" s="178"/>
    </row>
    <row r="123" spans="11:11" s="37" customFormat="1" ht="16" customHeight="1" x14ac:dyDescent="0.2">
      <c r="K123" s="178"/>
    </row>
    <row r="124" spans="11:11" s="37" customFormat="1" ht="16" customHeight="1" x14ac:dyDescent="0.2">
      <c r="K124" s="178"/>
    </row>
    <row r="125" spans="11:11" s="37" customFormat="1" ht="16" customHeight="1" x14ac:dyDescent="0.2">
      <c r="K125" s="178"/>
    </row>
    <row r="126" spans="11:11" s="37" customFormat="1" ht="16" customHeight="1" x14ac:dyDescent="0.2">
      <c r="K126" s="178"/>
    </row>
    <row r="127" spans="11:11" s="37" customFormat="1" ht="16" customHeight="1" x14ac:dyDescent="0.2">
      <c r="K127" s="178"/>
    </row>
    <row r="128" spans="11:11" s="37" customFormat="1" ht="16" customHeight="1" x14ac:dyDescent="0.2">
      <c r="K128" s="178"/>
    </row>
    <row r="129" spans="11:11" s="37" customFormat="1" ht="16" customHeight="1" x14ac:dyDescent="0.2">
      <c r="K129" s="178"/>
    </row>
    <row r="130" spans="11:11" s="37" customFormat="1" ht="16" customHeight="1" x14ac:dyDescent="0.2">
      <c r="K130" s="178"/>
    </row>
    <row r="131" spans="11:11" s="37" customFormat="1" ht="16" customHeight="1" x14ac:dyDescent="0.2">
      <c r="K131" s="178"/>
    </row>
    <row r="132" spans="11:11" s="37" customFormat="1" ht="16" customHeight="1" x14ac:dyDescent="0.2">
      <c r="K132" s="178"/>
    </row>
    <row r="133" spans="11:11" s="37" customFormat="1" ht="16" customHeight="1" x14ac:dyDescent="0.2">
      <c r="K133" s="178"/>
    </row>
    <row r="134" spans="11:11" s="37" customFormat="1" ht="16" customHeight="1" x14ac:dyDescent="0.2">
      <c r="K134" s="178"/>
    </row>
    <row r="135" spans="11:11" s="37" customFormat="1" ht="16" customHeight="1" x14ac:dyDescent="0.2">
      <c r="K135" s="178"/>
    </row>
    <row r="136" spans="11:11" s="37" customFormat="1" ht="16" customHeight="1" x14ac:dyDescent="0.2">
      <c r="K136" s="178"/>
    </row>
    <row r="137" spans="11:11" s="37" customFormat="1" ht="16" customHeight="1" x14ac:dyDescent="0.2">
      <c r="K137" s="178"/>
    </row>
    <row r="138" spans="11:11" s="37" customFormat="1" ht="16" customHeight="1" x14ac:dyDescent="0.2">
      <c r="K138" s="178"/>
    </row>
    <row r="139" spans="11:11" s="37" customFormat="1" ht="16" customHeight="1" x14ac:dyDescent="0.2">
      <c r="K139" s="178"/>
    </row>
    <row r="140" spans="11:11" s="37" customFormat="1" ht="16" customHeight="1" x14ac:dyDescent="0.2">
      <c r="K140" s="178"/>
    </row>
    <row r="141" spans="11:11" s="37" customFormat="1" ht="16" customHeight="1" x14ac:dyDescent="0.2">
      <c r="K141" s="178"/>
    </row>
    <row r="142" spans="11:11" s="37" customFormat="1" ht="16" customHeight="1" x14ac:dyDescent="0.2">
      <c r="K142" s="178"/>
    </row>
    <row r="143" spans="11:11" s="37" customFormat="1" ht="16" customHeight="1" x14ac:dyDescent="0.2">
      <c r="K143" s="178"/>
    </row>
    <row r="144" spans="11:11" s="37" customFormat="1" ht="16" customHeight="1" x14ac:dyDescent="0.2">
      <c r="K144" s="178"/>
    </row>
    <row r="145" spans="11:11" s="37" customFormat="1" ht="16" customHeight="1" x14ac:dyDescent="0.2">
      <c r="K145" s="178"/>
    </row>
    <row r="146" spans="11:11" s="37" customFormat="1" ht="16" customHeight="1" x14ac:dyDescent="0.2">
      <c r="K146" s="178"/>
    </row>
    <row r="147" spans="11:11" s="37" customFormat="1" ht="16" customHeight="1" x14ac:dyDescent="0.2">
      <c r="K147" s="178"/>
    </row>
    <row r="148" spans="11:11" s="37" customFormat="1" ht="16" customHeight="1" x14ac:dyDescent="0.2">
      <c r="K148" s="178"/>
    </row>
    <row r="149" spans="11:11" s="37" customFormat="1" ht="16" customHeight="1" x14ac:dyDescent="0.2">
      <c r="K149" s="178"/>
    </row>
    <row r="150" spans="11:11" s="37" customFormat="1" ht="16" customHeight="1" x14ac:dyDescent="0.2">
      <c r="K150" s="178"/>
    </row>
    <row r="151" spans="11:11" s="37" customFormat="1" ht="16" customHeight="1" x14ac:dyDescent="0.2">
      <c r="K151" s="178"/>
    </row>
    <row r="152" spans="11:11" s="37" customFormat="1" ht="16" customHeight="1" x14ac:dyDescent="0.2">
      <c r="K152" s="178"/>
    </row>
    <row r="153" spans="11:11" s="37" customFormat="1" ht="16" customHeight="1" x14ac:dyDescent="0.2">
      <c r="K153" s="178"/>
    </row>
    <row r="154" spans="11:11" s="37" customFormat="1" ht="16" customHeight="1" x14ac:dyDescent="0.2">
      <c r="K154" s="178"/>
    </row>
    <row r="155" spans="11:11" s="37" customFormat="1" ht="16" customHeight="1" x14ac:dyDescent="0.2">
      <c r="K155" s="178"/>
    </row>
    <row r="156" spans="11:11" s="37" customFormat="1" ht="16" customHeight="1" x14ac:dyDescent="0.2">
      <c r="K156" s="178"/>
    </row>
    <row r="157" spans="11:11" s="37" customFormat="1" ht="16" customHeight="1" x14ac:dyDescent="0.2">
      <c r="K157" s="178"/>
    </row>
    <row r="158" spans="11:11" s="37" customFormat="1" ht="16" customHeight="1" x14ac:dyDescent="0.2">
      <c r="K158" s="178"/>
    </row>
    <row r="159" spans="11:11" s="37" customFormat="1" ht="16" customHeight="1" x14ac:dyDescent="0.2">
      <c r="K159" s="178"/>
    </row>
    <row r="160" spans="11:11" s="37" customFormat="1" ht="16" customHeight="1" x14ac:dyDescent="0.2">
      <c r="K160" s="178"/>
    </row>
    <row r="161" spans="11:11" s="37" customFormat="1" ht="16" customHeight="1" x14ac:dyDescent="0.2">
      <c r="K161" s="178"/>
    </row>
    <row r="162" spans="11:11" s="37" customFormat="1" ht="16" customHeight="1" x14ac:dyDescent="0.2">
      <c r="K162" s="178"/>
    </row>
    <row r="163" spans="11:11" s="37" customFormat="1" ht="16" customHeight="1" x14ac:dyDescent="0.2">
      <c r="K163" s="178"/>
    </row>
    <row r="164" spans="11:11" s="37" customFormat="1" ht="16" customHeight="1" x14ac:dyDescent="0.2">
      <c r="K164" s="178"/>
    </row>
    <row r="165" spans="11:11" s="37" customFormat="1" ht="16" customHeight="1" x14ac:dyDescent="0.2">
      <c r="K165" s="178"/>
    </row>
    <row r="166" spans="11:11" s="37" customFormat="1" ht="16" customHeight="1" x14ac:dyDescent="0.2">
      <c r="K166" s="178"/>
    </row>
    <row r="167" spans="11:11" s="37" customFormat="1" ht="16" customHeight="1" x14ac:dyDescent="0.2">
      <c r="K167" s="178"/>
    </row>
    <row r="168" spans="11:11" s="37" customFormat="1" ht="16" customHeight="1" x14ac:dyDescent="0.2">
      <c r="K168" s="178"/>
    </row>
    <row r="169" spans="11:11" s="37" customFormat="1" ht="16" customHeight="1" x14ac:dyDescent="0.2">
      <c r="K169" s="178"/>
    </row>
    <row r="170" spans="11:11" s="37" customFormat="1" ht="16" customHeight="1" x14ac:dyDescent="0.2">
      <c r="K170" s="178"/>
    </row>
    <row r="171" spans="11:11" s="37" customFormat="1" ht="16" customHeight="1" x14ac:dyDescent="0.2">
      <c r="K171" s="178"/>
    </row>
    <row r="172" spans="11:11" s="37" customFormat="1" ht="16" customHeight="1" x14ac:dyDescent="0.2">
      <c r="K172" s="178"/>
    </row>
    <row r="173" spans="11:11" s="37" customFormat="1" ht="16" customHeight="1" x14ac:dyDescent="0.2">
      <c r="K173" s="178"/>
    </row>
    <row r="174" spans="11:11" s="37" customFormat="1" ht="16" customHeight="1" x14ac:dyDescent="0.2">
      <c r="K174" s="178"/>
    </row>
    <row r="175" spans="11:11" s="37" customFormat="1" ht="16" customHeight="1" x14ac:dyDescent="0.2">
      <c r="K175" s="178"/>
    </row>
    <row r="176" spans="11:11" s="37" customFormat="1" ht="16" customHeight="1" x14ac:dyDescent="0.2">
      <c r="K176" s="178"/>
    </row>
    <row r="177" spans="11:11" s="37" customFormat="1" ht="16" customHeight="1" x14ac:dyDescent="0.2">
      <c r="K177" s="178"/>
    </row>
    <row r="178" spans="11:11" s="37" customFormat="1" ht="16" customHeight="1" x14ac:dyDescent="0.2">
      <c r="K178" s="178"/>
    </row>
    <row r="179" spans="11:11" s="37" customFormat="1" ht="16" customHeight="1" x14ac:dyDescent="0.2">
      <c r="K179" s="178"/>
    </row>
    <row r="180" spans="11:11" s="37" customFormat="1" ht="16" customHeight="1" x14ac:dyDescent="0.2">
      <c r="K180" s="178"/>
    </row>
    <row r="181" spans="11:11" s="37" customFormat="1" ht="16" customHeight="1" x14ac:dyDescent="0.2">
      <c r="K181" s="178"/>
    </row>
    <row r="182" spans="11:11" s="37" customFormat="1" ht="16" customHeight="1" x14ac:dyDescent="0.2">
      <c r="K182" s="178"/>
    </row>
    <row r="183" spans="11:11" s="37" customFormat="1" ht="16" customHeight="1" x14ac:dyDescent="0.2">
      <c r="K183" s="178"/>
    </row>
    <row r="184" spans="11:11" s="37" customFormat="1" ht="16" customHeight="1" x14ac:dyDescent="0.2">
      <c r="K184" s="178"/>
    </row>
    <row r="185" spans="11:11" s="37" customFormat="1" ht="16" customHeight="1" x14ac:dyDescent="0.2">
      <c r="K185" s="178"/>
    </row>
    <row r="186" spans="11:11" s="37" customFormat="1" ht="16" customHeight="1" x14ac:dyDescent="0.2">
      <c r="K186" s="178"/>
    </row>
    <row r="187" spans="11:11" s="37" customFormat="1" ht="16" customHeight="1" x14ac:dyDescent="0.2">
      <c r="K187" s="178"/>
    </row>
    <row r="188" spans="11:11" s="37" customFormat="1" ht="16" customHeight="1" x14ac:dyDescent="0.2">
      <c r="K188" s="178"/>
    </row>
    <row r="189" spans="11:11" s="37" customFormat="1" ht="16" customHeight="1" x14ac:dyDescent="0.2">
      <c r="K189" s="178"/>
    </row>
    <row r="190" spans="11:11" s="37" customFormat="1" ht="16" customHeight="1" x14ac:dyDescent="0.2">
      <c r="K190" s="178"/>
    </row>
    <row r="191" spans="11:11" s="37" customFormat="1" ht="16" customHeight="1" x14ac:dyDescent="0.2">
      <c r="K191" s="178"/>
    </row>
    <row r="192" spans="11:11" s="37" customFormat="1" ht="16" customHeight="1" x14ac:dyDescent="0.2">
      <c r="K192" s="178"/>
    </row>
    <row r="193" spans="11:11" s="37" customFormat="1" ht="16" customHeight="1" x14ac:dyDescent="0.2">
      <c r="K193" s="178"/>
    </row>
    <row r="194" spans="11:11" s="37" customFormat="1" ht="16" customHeight="1" x14ac:dyDescent="0.2">
      <c r="K194" s="178"/>
    </row>
    <row r="195" spans="11:11" s="37" customFormat="1" ht="16" customHeight="1" x14ac:dyDescent="0.2">
      <c r="K195" s="178"/>
    </row>
    <row r="196" spans="11:11" s="37" customFormat="1" ht="16" customHeight="1" x14ac:dyDescent="0.2">
      <c r="K196" s="178"/>
    </row>
    <row r="197" spans="11:11" s="37" customFormat="1" ht="16" customHeight="1" x14ac:dyDescent="0.2">
      <c r="K197" s="178"/>
    </row>
    <row r="198" spans="11:11" s="37" customFormat="1" ht="16" customHeight="1" x14ac:dyDescent="0.2">
      <c r="K198" s="178"/>
    </row>
    <row r="199" spans="11:11" s="37" customFormat="1" ht="16" customHeight="1" x14ac:dyDescent="0.2">
      <c r="K199" s="178"/>
    </row>
    <row r="200" spans="11:11" s="37" customFormat="1" ht="16" customHeight="1" x14ac:dyDescent="0.2">
      <c r="K200" s="178"/>
    </row>
    <row r="863" spans="6:6" ht="16" customHeight="1" x14ac:dyDescent="0.2">
      <c r="F863" s="179"/>
    </row>
  </sheetData>
  <mergeCells count="23">
    <mergeCell ref="A29:D29"/>
    <mergeCell ref="A3:L3"/>
    <mergeCell ref="A4:L4"/>
    <mergeCell ref="A5:F5"/>
    <mergeCell ref="A7:D10"/>
    <mergeCell ref="E7:E10"/>
    <mergeCell ref="F7:J7"/>
    <mergeCell ref="K7:L8"/>
    <mergeCell ref="F8:F9"/>
    <mergeCell ref="G8:G9"/>
    <mergeCell ref="H8:H9"/>
    <mergeCell ref="I8:I9"/>
    <mergeCell ref="J8:J9"/>
    <mergeCell ref="A12:D12"/>
    <mergeCell ref="B13:C13"/>
    <mergeCell ref="A14:D14"/>
    <mergeCell ref="A86:L86"/>
    <mergeCell ref="A35:D35"/>
    <mergeCell ref="A41:D41"/>
    <mergeCell ref="A44:D44"/>
    <mergeCell ref="A47:D47"/>
    <mergeCell ref="A50:D50"/>
    <mergeCell ref="A85:L85"/>
  </mergeCells>
  <printOptions horizontalCentered="1"/>
  <pageMargins left="0.7" right="0.7" top="0.75" bottom="0.75" header="0.3" footer="0.3"/>
  <pageSetup paperSize="9" scale="75" fitToHeight="0" orientation="portrait" r:id="rId1"/>
  <headerFooter alignWithMargins="0"/>
  <rowBreaks count="1" manualBreakCount="1">
    <brk id="4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34192-7F68-4272-B91F-EFE4C12C9331}">
  <sheetPr codeName="Tabelle111">
    <pageSetUpPr fitToPage="1"/>
  </sheetPr>
  <dimension ref="A1:O200"/>
  <sheetViews>
    <sheetView showGridLines="0" topLeftCell="A6" zoomScaleNormal="100" workbookViewId="0">
      <selection activeCell="B21" sqref="B21"/>
    </sheetView>
  </sheetViews>
  <sheetFormatPr defaultColWidth="8.81640625" defaultRowHeight="16" customHeight="1" x14ac:dyDescent="0.2"/>
  <cols>
    <col min="1" max="1" width="9.7265625" style="37" customWidth="1"/>
    <col min="2" max="2" width="48.7265625" style="37" customWidth="1"/>
    <col min="3" max="3" width="6.7265625" style="61" customWidth="1"/>
    <col min="4" max="9" width="9.7265625" style="90" customWidth="1"/>
    <col min="10" max="10" width="9.7265625" style="91" customWidth="1"/>
    <col min="11" max="11" width="9.7265625" style="37" customWidth="1"/>
    <col min="12" max="16384" width="8.81640625" style="37"/>
  </cols>
  <sheetData>
    <row r="1" spans="1:15" customFormat="1" ht="36.75" customHeight="1" x14ac:dyDescent="0.25">
      <c r="A1" s="30"/>
      <c r="B1" s="31"/>
      <c r="C1" s="31"/>
      <c r="D1" s="31"/>
      <c r="E1" s="31"/>
      <c r="F1" s="31"/>
      <c r="G1" s="31"/>
      <c r="H1" s="31"/>
      <c r="I1" s="31"/>
      <c r="J1" s="32" t="s">
        <v>40</v>
      </c>
    </row>
    <row r="2" spans="1:15" customFormat="1" ht="11.25" customHeight="1" x14ac:dyDescent="0.25">
      <c r="A2" s="33"/>
      <c r="B2" s="34"/>
      <c r="C2" s="34"/>
      <c r="D2" s="34"/>
      <c r="E2" s="34"/>
      <c r="F2" s="34"/>
      <c r="G2" s="34"/>
      <c r="H2" s="34"/>
      <c r="I2" s="34"/>
      <c r="J2" s="34"/>
    </row>
    <row r="3" spans="1:15" s="35" customFormat="1" ht="20.149999999999999" customHeight="1" x14ac:dyDescent="0.35">
      <c r="A3" s="445" t="s">
        <v>208</v>
      </c>
      <c r="B3" s="445"/>
      <c r="C3" s="445"/>
      <c r="D3" s="445"/>
      <c r="E3" s="445"/>
      <c r="F3" s="445"/>
      <c r="G3" s="445"/>
      <c r="H3" s="445"/>
      <c r="I3" s="445"/>
      <c r="J3" s="445"/>
    </row>
    <row r="4" spans="1:15" s="35" customFormat="1" ht="12" customHeight="1" x14ac:dyDescent="0.35">
      <c r="A4" s="446" t="s">
        <v>86</v>
      </c>
      <c r="B4" s="446"/>
      <c r="C4" s="446"/>
      <c r="D4" s="446"/>
      <c r="E4" s="446"/>
      <c r="F4" s="446"/>
      <c r="G4" s="446"/>
      <c r="H4" s="446"/>
      <c r="I4" s="446"/>
      <c r="J4" s="446"/>
    </row>
    <row r="5" spans="1:15" s="35" customFormat="1" ht="12" customHeight="1" x14ac:dyDescent="0.35">
      <c r="A5" s="447" t="s">
        <v>42</v>
      </c>
      <c r="B5" s="447"/>
      <c r="C5" s="447"/>
      <c r="D5" s="447"/>
      <c r="E5" s="165"/>
      <c r="F5" s="165"/>
      <c r="G5" s="165"/>
      <c r="H5" s="165"/>
      <c r="I5" s="165"/>
      <c r="J5" s="165"/>
    </row>
    <row r="6" spans="1:15" s="35" customFormat="1" ht="11.25" customHeight="1" x14ac:dyDescent="0.35">
      <c r="A6" s="145"/>
      <c r="B6" s="146"/>
      <c r="C6" s="146"/>
      <c r="D6" s="146"/>
      <c r="E6" s="146"/>
      <c r="F6" s="146"/>
      <c r="G6" s="146"/>
      <c r="H6" s="146"/>
      <c r="I6" s="146"/>
      <c r="J6" s="146"/>
    </row>
    <row r="7" spans="1:15" customFormat="1" ht="12" customHeight="1" x14ac:dyDescent="0.25">
      <c r="A7" s="462" t="s">
        <v>209</v>
      </c>
      <c r="B7" s="463"/>
      <c r="C7" s="456" t="s">
        <v>88</v>
      </c>
      <c r="D7" s="459" t="s">
        <v>175</v>
      </c>
      <c r="E7" s="460"/>
      <c r="F7" s="460"/>
      <c r="G7" s="460"/>
      <c r="H7" s="461"/>
      <c r="I7" s="462" t="s">
        <v>176</v>
      </c>
      <c r="J7" s="463"/>
      <c r="K7" s="37"/>
      <c r="L7" s="37"/>
      <c r="M7" s="37"/>
      <c r="N7" s="37"/>
      <c r="O7" s="37"/>
    </row>
    <row r="8" spans="1:15" ht="21.75" customHeight="1" x14ac:dyDescent="0.2">
      <c r="A8" s="487"/>
      <c r="B8" s="488"/>
      <c r="C8" s="457"/>
      <c r="D8" s="438" t="s">
        <v>91</v>
      </c>
      <c r="E8" s="438" t="s">
        <v>92</v>
      </c>
      <c r="F8" s="438" t="s">
        <v>93</v>
      </c>
      <c r="G8" s="438" t="s">
        <v>94</v>
      </c>
      <c r="H8" s="438" t="s">
        <v>95</v>
      </c>
      <c r="I8" s="464"/>
      <c r="J8" s="465"/>
    </row>
    <row r="9" spans="1:15" ht="12" customHeight="1" x14ac:dyDescent="0.2">
      <c r="A9" s="487"/>
      <c r="B9" s="488"/>
      <c r="C9" s="457"/>
      <c r="D9" s="439"/>
      <c r="E9" s="439"/>
      <c r="F9" s="439"/>
      <c r="G9" s="439"/>
      <c r="H9" s="439"/>
      <c r="I9" s="38" t="s">
        <v>96</v>
      </c>
      <c r="J9" s="39" t="s">
        <v>97</v>
      </c>
    </row>
    <row r="10" spans="1:15" ht="12" customHeight="1" x14ac:dyDescent="0.2">
      <c r="A10" s="180"/>
      <c r="B10" s="181"/>
      <c r="C10" s="458"/>
      <c r="D10" s="40">
        <v>1</v>
      </c>
      <c r="E10" s="40">
        <v>2</v>
      </c>
      <c r="F10" s="40">
        <v>3</v>
      </c>
      <c r="G10" s="40">
        <v>4</v>
      </c>
      <c r="H10" s="40">
        <v>5</v>
      </c>
      <c r="I10" s="40">
        <v>6</v>
      </c>
      <c r="J10" s="40">
        <v>7</v>
      </c>
      <c r="K10" s="41"/>
    </row>
    <row r="11" spans="1:15" s="51" customFormat="1" ht="25" customHeight="1" x14ac:dyDescent="0.25">
      <c r="A11" s="485" t="s">
        <v>98</v>
      </c>
      <c r="B11" s="486"/>
      <c r="C11" s="52">
        <v>100</v>
      </c>
      <c r="D11" s="54">
        <v>87540</v>
      </c>
      <c r="E11" s="53">
        <v>87355</v>
      </c>
      <c r="F11" s="53">
        <v>88337</v>
      </c>
      <c r="G11" s="53">
        <v>89302</v>
      </c>
      <c r="H11" s="79">
        <v>88265</v>
      </c>
      <c r="I11" s="54">
        <v>-725</v>
      </c>
      <c r="J11" s="55">
        <v>-0.8213901319888971</v>
      </c>
    </row>
    <row r="12" spans="1:15" ht="25" customHeight="1" x14ac:dyDescent="0.2">
      <c r="A12" s="120" t="s">
        <v>126</v>
      </c>
      <c r="B12" s="121" t="s">
        <v>127</v>
      </c>
      <c r="C12" s="52">
        <v>1.8585789353438429</v>
      </c>
      <c r="D12" s="54">
        <v>1627</v>
      </c>
      <c r="E12" s="53">
        <v>1607</v>
      </c>
      <c r="F12" s="53">
        <v>1585</v>
      </c>
      <c r="G12" s="53">
        <v>1679</v>
      </c>
      <c r="H12" s="79">
        <v>1646</v>
      </c>
      <c r="I12" s="54">
        <v>-19</v>
      </c>
      <c r="J12" s="55">
        <v>-1.1543134872417984</v>
      </c>
    </row>
    <row r="13" spans="1:15" ht="25" customHeight="1" x14ac:dyDescent="0.2">
      <c r="A13" s="120" t="s">
        <v>128</v>
      </c>
      <c r="B13" s="126" t="s">
        <v>210</v>
      </c>
      <c r="C13" s="52">
        <v>3.3139136394790953</v>
      </c>
      <c r="D13" s="54">
        <v>2901</v>
      </c>
      <c r="E13" s="53">
        <v>2890</v>
      </c>
      <c r="F13" s="53">
        <v>2910</v>
      </c>
      <c r="G13" s="53">
        <v>2950</v>
      </c>
      <c r="H13" s="79">
        <v>2959</v>
      </c>
      <c r="I13" s="54">
        <v>-58</v>
      </c>
      <c r="J13" s="55">
        <v>-1.9601216627238931</v>
      </c>
    </row>
    <row r="14" spans="1:15" s="140" customFormat="1" ht="24" customHeight="1" x14ac:dyDescent="0.2">
      <c r="A14" s="120" t="s">
        <v>211</v>
      </c>
      <c r="B14" s="126" t="s">
        <v>131</v>
      </c>
      <c r="C14" s="52">
        <v>22.37719899474526</v>
      </c>
      <c r="D14" s="54">
        <v>19589</v>
      </c>
      <c r="E14" s="53">
        <v>19584</v>
      </c>
      <c r="F14" s="53">
        <v>19652</v>
      </c>
      <c r="G14" s="53">
        <v>19850</v>
      </c>
      <c r="H14" s="79">
        <v>19659</v>
      </c>
      <c r="I14" s="54">
        <v>-70</v>
      </c>
      <c r="J14" s="55">
        <v>-0.35607101073299763</v>
      </c>
      <c r="K14" s="37"/>
      <c r="L14" s="37"/>
      <c r="M14" s="37"/>
      <c r="N14" s="37"/>
      <c r="O14" s="37"/>
    </row>
    <row r="15" spans="1:15" ht="24.75" customHeight="1" x14ac:dyDescent="0.2">
      <c r="A15" s="120" t="s">
        <v>212</v>
      </c>
      <c r="B15" s="126" t="s">
        <v>213</v>
      </c>
      <c r="C15" s="52">
        <v>7.8398446424491661</v>
      </c>
      <c r="D15" s="54">
        <v>6863</v>
      </c>
      <c r="E15" s="53">
        <v>6803</v>
      </c>
      <c r="F15" s="53">
        <v>6738</v>
      </c>
      <c r="G15" s="53">
        <v>6800</v>
      </c>
      <c r="H15" s="79">
        <v>6779</v>
      </c>
      <c r="I15" s="54">
        <v>84</v>
      </c>
      <c r="J15" s="55">
        <v>1.2391208142793921</v>
      </c>
    </row>
    <row r="16" spans="1:15" s="140" customFormat="1" ht="25" customHeight="1" x14ac:dyDescent="0.2">
      <c r="A16" s="120" t="s">
        <v>214</v>
      </c>
      <c r="B16" s="126" t="s">
        <v>135</v>
      </c>
      <c r="C16" s="52">
        <v>10.636280557459447</v>
      </c>
      <c r="D16" s="54">
        <v>9311</v>
      </c>
      <c r="E16" s="53">
        <v>9358</v>
      </c>
      <c r="F16" s="53">
        <v>9428</v>
      </c>
      <c r="G16" s="53">
        <v>9486</v>
      </c>
      <c r="H16" s="79">
        <v>9393</v>
      </c>
      <c r="I16" s="54">
        <v>-82</v>
      </c>
      <c r="J16" s="55">
        <v>-0.87299052485893747</v>
      </c>
      <c r="K16" s="37"/>
      <c r="L16" s="37"/>
      <c r="M16" s="37"/>
      <c r="N16" s="37"/>
      <c r="O16" s="37"/>
    </row>
    <row r="17" spans="1:15" ht="25" customHeight="1" x14ac:dyDescent="0.2">
      <c r="A17" s="120" t="s">
        <v>215</v>
      </c>
      <c r="B17" s="126" t="s">
        <v>216</v>
      </c>
      <c r="C17" s="52">
        <v>3.9010737948366461</v>
      </c>
      <c r="D17" s="54">
        <v>3415</v>
      </c>
      <c r="E17" s="53">
        <v>3423</v>
      </c>
      <c r="F17" s="53">
        <v>3486</v>
      </c>
      <c r="G17" s="53">
        <v>3564</v>
      </c>
      <c r="H17" s="79">
        <v>3487</v>
      </c>
      <c r="I17" s="54">
        <v>-72</v>
      </c>
      <c r="J17" s="55">
        <v>-2.0648121594493833</v>
      </c>
    </row>
    <row r="18" spans="1:15" s="140" customFormat="1" ht="25" customHeight="1" x14ac:dyDescent="0.2">
      <c r="A18" s="128" t="s">
        <v>138</v>
      </c>
      <c r="B18" s="129" t="s">
        <v>139</v>
      </c>
      <c r="C18" s="52">
        <v>6.4747543979894902</v>
      </c>
      <c r="D18" s="54">
        <v>5668</v>
      </c>
      <c r="E18" s="53">
        <v>5610</v>
      </c>
      <c r="F18" s="53">
        <v>5739</v>
      </c>
      <c r="G18" s="53">
        <v>5893</v>
      </c>
      <c r="H18" s="79">
        <v>5817</v>
      </c>
      <c r="I18" s="54">
        <v>-149</v>
      </c>
      <c r="J18" s="55">
        <v>-2.5614577961148357</v>
      </c>
      <c r="K18" s="37"/>
      <c r="L18" s="37"/>
      <c r="M18" s="37"/>
      <c r="N18" s="37"/>
      <c r="O18" s="37"/>
    </row>
    <row r="19" spans="1:15" ht="25" customHeight="1" x14ac:dyDescent="0.2">
      <c r="A19" s="120" t="s">
        <v>140</v>
      </c>
      <c r="B19" s="126" t="s">
        <v>141</v>
      </c>
      <c r="C19" s="52">
        <v>11.127484578478409</v>
      </c>
      <c r="D19" s="54">
        <v>9741</v>
      </c>
      <c r="E19" s="53">
        <v>9819</v>
      </c>
      <c r="F19" s="53">
        <v>9994</v>
      </c>
      <c r="G19" s="53">
        <v>10143</v>
      </c>
      <c r="H19" s="79">
        <v>10027</v>
      </c>
      <c r="I19" s="54">
        <v>-286</v>
      </c>
      <c r="J19" s="55">
        <v>-2.8522987932582029</v>
      </c>
    </row>
    <row r="20" spans="1:15" s="140" customFormat="1" ht="25" customHeight="1" x14ac:dyDescent="0.2">
      <c r="A20" s="120" t="s">
        <v>142</v>
      </c>
      <c r="B20" s="126" t="s">
        <v>143</v>
      </c>
      <c r="C20" s="52">
        <v>3.3801690655700249</v>
      </c>
      <c r="D20" s="54">
        <v>2959</v>
      </c>
      <c r="E20" s="53">
        <v>2990</v>
      </c>
      <c r="F20" s="53">
        <v>3073</v>
      </c>
      <c r="G20" s="53">
        <v>3102</v>
      </c>
      <c r="H20" s="79">
        <v>3144</v>
      </c>
      <c r="I20" s="54">
        <v>-185</v>
      </c>
      <c r="J20" s="55">
        <v>-5.8842239185750635</v>
      </c>
      <c r="K20" s="37"/>
      <c r="L20" s="37"/>
      <c r="M20" s="37"/>
      <c r="N20" s="37"/>
      <c r="O20" s="37"/>
    </row>
    <row r="21" spans="1:15" ht="25" customHeight="1" x14ac:dyDescent="0.2">
      <c r="A21" s="128" t="s">
        <v>144</v>
      </c>
      <c r="B21" s="129" t="s">
        <v>145</v>
      </c>
      <c r="C21" s="52">
        <v>3.1973954763536669</v>
      </c>
      <c r="D21" s="54">
        <v>2799</v>
      </c>
      <c r="E21" s="53">
        <v>2648</v>
      </c>
      <c r="F21" s="53">
        <v>2772</v>
      </c>
      <c r="G21" s="53">
        <v>2912</v>
      </c>
      <c r="H21" s="79">
        <v>2858</v>
      </c>
      <c r="I21" s="54">
        <v>-59</v>
      </c>
      <c r="J21" s="55">
        <v>-2.0643806857942617</v>
      </c>
    </row>
    <row r="22" spans="1:15" ht="25" customHeight="1" x14ac:dyDescent="0.2">
      <c r="A22" s="128" t="s">
        <v>146</v>
      </c>
      <c r="B22" s="126" t="s">
        <v>147</v>
      </c>
      <c r="C22" s="52">
        <v>0.88873657756454194</v>
      </c>
      <c r="D22" s="54">
        <v>778</v>
      </c>
      <c r="E22" s="53">
        <v>783</v>
      </c>
      <c r="F22" s="53">
        <v>807</v>
      </c>
      <c r="G22" s="53">
        <v>818</v>
      </c>
      <c r="H22" s="79">
        <v>817</v>
      </c>
      <c r="I22" s="54">
        <v>-39</v>
      </c>
      <c r="J22" s="55">
        <v>-4.7735618115055081</v>
      </c>
    </row>
    <row r="23" spans="1:15" ht="25" customHeight="1" x14ac:dyDescent="0.2">
      <c r="A23" s="120" t="s">
        <v>148</v>
      </c>
      <c r="B23" s="126" t="s">
        <v>149</v>
      </c>
      <c r="C23" s="52">
        <v>1.1411925976696367</v>
      </c>
      <c r="D23" s="54">
        <v>999</v>
      </c>
      <c r="E23" s="53">
        <v>989</v>
      </c>
      <c r="F23" s="53">
        <v>994</v>
      </c>
      <c r="G23" s="53">
        <v>988</v>
      </c>
      <c r="H23" s="79">
        <v>974</v>
      </c>
      <c r="I23" s="54">
        <v>25</v>
      </c>
      <c r="J23" s="55">
        <v>2.5667351129363452</v>
      </c>
    </row>
    <row r="24" spans="1:15" ht="25" customHeight="1" x14ac:dyDescent="0.2">
      <c r="A24" s="120" t="s">
        <v>150</v>
      </c>
      <c r="B24" s="126" t="s">
        <v>217</v>
      </c>
      <c r="C24" s="52">
        <v>4.9383139136394787</v>
      </c>
      <c r="D24" s="54">
        <v>4323</v>
      </c>
      <c r="E24" s="53">
        <v>4294</v>
      </c>
      <c r="F24" s="53">
        <v>4343</v>
      </c>
      <c r="G24" s="53">
        <v>4797</v>
      </c>
      <c r="H24" s="79">
        <v>4762</v>
      </c>
      <c r="I24" s="54">
        <v>-439</v>
      </c>
      <c r="J24" s="55">
        <v>-9.2188156236875258</v>
      </c>
    </row>
    <row r="25" spans="1:15" ht="25" customHeight="1" x14ac:dyDescent="0.2">
      <c r="A25" s="120" t="s">
        <v>152</v>
      </c>
      <c r="B25" s="131" t="s">
        <v>218</v>
      </c>
      <c r="C25" s="52">
        <v>4.7418323052318936</v>
      </c>
      <c r="D25" s="54">
        <v>4151</v>
      </c>
      <c r="E25" s="53">
        <v>4048</v>
      </c>
      <c r="F25" s="53">
        <v>4198</v>
      </c>
      <c r="G25" s="53">
        <v>4278</v>
      </c>
      <c r="H25" s="79">
        <v>4198</v>
      </c>
      <c r="I25" s="54">
        <v>-47</v>
      </c>
      <c r="J25" s="55">
        <v>-1.1195807527393997</v>
      </c>
    </row>
    <row r="26" spans="1:15" ht="25" customHeight="1" x14ac:dyDescent="0.2">
      <c r="A26" s="120" t="s">
        <v>219</v>
      </c>
      <c r="B26" s="131" t="s">
        <v>155</v>
      </c>
      <c r="C26" s="52">
        <v>4.0735663696595843</v>
      </c>
      <c r="D26" s="54">
        <v>3566</v>
      </c>
      <c r="E26" s="53">
        <v>3453</v>
      </c>
      <c r="F26" s="53">
        <v>3539</v>
      </c>
      <c r="G26" s="53">
        <v>3574</v>
      </c>
      <c r="H26" s="79">
        <v>3572</v>
      </c>
      <c r="I26" s="54">
        <v>-6</v>
      </c>
      <c r="J26" s="55">
        <v>-0.16797312430011199</v>
      </c>
    </row>
    <row r="27" spans="1:15" ht="25" customHeight="1" x14ac:dyDescent="0.2">
      <c r="A27" s="128">
        <v>782.78300000000002</v>
      </c>
      <c r="B27" s="130" t="s">
        <v>156</v>
      </c>
      <c r="C27" s="52">
        <v>0.66826593557230984</v>
      </c>
      <c r="D27" s="54">
        <v>585</v>
      </c>
      <c r="E27" s="53">
        <v>595</v>
      </c>
      <c r="F27" s="53">
        <v>659</v>
      </c>
      <c r="G27" s="53">
        <v>704</v>
      </c>
      <c r="H27" s="79">
        <v>626</v>
      </c>
      <c r="I27" s="54">
        <v>-41</v>
      </c>
      <c r="J27" s="55">
        <v>-6.5495207667731625</v>
      </c>
    </row>
    <row r="28" spans="1:15" ht="25" customHeight="1" x14ac:dyDescent="0.2">
      <c r="A28" s="120" t="s">
        <v>157</v>
      </c>
      <c r="B28" s="126" t="s">
        <v>220</v>
      </c>
      <c r="C28" s="52">
        <v>7.0436371944254059</v>
      </c>
      <c r="D28" s="54">
        <v>6166</v>
      </c>
      <c r="E28" s="53">
        <v>6157</v>
      </c>
      <c r="F28" s="53">
        <v>6233</v>
      </c>
      <c r="G28" s="53">
        <v>6241</v>
      </c>
      <c r="H28" s="79">
        <v>6203</v>
      </c>
      <c r="I28" s="54">
        <v>-37</v>
      </c>
      <c r="J28" s="55">
        <v>-0.59648557149766246</v>
      </c>
    </row>
    <row r="29" spans="1:15" ht="25" customHeight="1" x14ac:dyDescent="0.2">
      <c r="A29" s="120" t="s">
        <v>159</v>
      </c>
      <c r="B29" s="126" t="s">
        <v>160</v>
      </c>
      <c r="C29" s="52">
        <v>4.3317340644276898</v>
      </c>
      <c r="D29" s="54">
        <v>3792</v>
      </c>
      <c r="E29" s="53">
        <v>3856</v>
      </c>
      <c r="F29" s="53">
        <v>3887</v>
      </c>
      <c r="G29" s="53">
        <v>3828</v>
      </c>
      <c r="H29" s="79">
        <v>3821</v>
      </c>
      <c r="I29" s="54">
        <v>-29</v>
      </c>
      <c r="J29" s="55">
        <v>-0.75896362208845847</v>
      </c>
    </row>
    <row r="30" spans="1:15" ht="25" customHeight="1" x14ac:dyDescent="0.2">
      <c r="A30" s="120">
        <v>86</v>
      </c>
      <c r="B30" s="126" t="s">
        <v>161</v>
      </c>
      <c r="C30" s="52">
        <v>8.246515878455563</v>
      </c>
      <c r="D30" s="54">
        <v>7219</v>
      </c>
      <c r="E30" s="53">
        <v>7285</v>
      </c>
      <c r="F30" s="53">
        <v>7320</v>
      </c>
      <c r="G30" s="53">
        <v>7347</v>
      </c>
      <c r="H30" s="79">
        <v>7152</v>
      </c>
      <c r="I30" s="54">
        <v>67</v>
      </c>
      <c r="J30" s="55">
        <v>0.93680089485458617</v>
      </c>
    </row>
    <row r="31" spans="1:15" ht="25" customHeight="1" x14ac:dyDescent="0.2">
      <c r="A31" s="120">
        <v>87.88</v>
      </c>
      <c r="B31" s="131" t="s">
        <v>162</v>
      </c>
      <c r="C31" s="52">
        <v>12.679917751884853</v>
      </c>
      <c r="D31" s="54">
        <v>11100</v>
      </c>
      <c r="E31" s="53">
        <v>11086</v>
      </c>
      <c r="F31" s="53">
        <v>11055</v>
      </c>
      <c r="G31" s="53">
        <v>10654</v>
      </c>
      <c r="H31" s="79">
        <v>10500</v>
      </c>
      <c r="I31" s="54">
        <v>600</v>
      </c>
      <c r="J31" s="55">
        <v>5.7142857142857144</v>
      </c>
    </row>
    <row r="32" spans="1:15" ht="25" customHeight="1" x14ac:dyDescent="0.2">
      <c r="A32" s="120" t="s">
        <v>163</v>
      </c>
      <c r="B32" s="126" t="s">
        <v>164</v>
      </c>
      <c r="C32" s="52">
        <v>4.2586246287411473</v>
      </c>
      <c r="D32" s="54">
        <v>3728</v>
      </c>
      <c r="E32" s="53">
        <v>3709</v>
      </c>
      <c r="F32" s="53">
        <v>3775</v>
      </c>
      <c r="G32" s="53">
        <v>3822</v>
      </c>
      <c r="H32" s="79">
        <v>3728</v>
      </c>
      <c r="I32" s="54">
        <v>0</v>
      </c>
      <c r="J32" s="55">
        <v>0</v>
      </c>
    </row>
    <row r="33" spans="1:10" ht="25" customHeight="1" x14ac:dyDescent="0.2">
      <c r="A33" s="120"/>
      <c r="B33" s="182" t="s">
        <v>165</v>
      </c>
      <c r="C33" s="52">
        <v>0</v>
      </c>
      <c r="D33" s="54">
        <v>0</v>
      </c>
      <c r="E33" s="53">
        <v>0</v>
      </c>
      <c r="F33" s="53">
        <v>0</v>
      </c>
      <c r="G33" s="53">
        <v>0</v>
      </c>
      <c r="H33" s="79">
        <v>0</v>
      </c>
      <c r="I33" s="54">
        <v>0</v>
      </c>
      <c r="J33" s="55">
        <v>0</v>
      </c>
    </row>
    <row r="34" spans="1:10" ht="25" customHeight="1" x14ac:dyDescent="0.2">
      <c r="A34" s="132" t="s">
        <v>166</v>
      </c>
      <c r="B34" s="133"/>
      <c r="C34" s="183"/>
      <c r="D34" s="54"/>
      <c r="E34" s="53"/>
      <c r="F34" s="53"/>
      <c r="G34" s="53"/>
      <c r="H34" s="79"/>
      <c r="I34" s="76"/>
      <c r="J34" s="77"/>
    </row>
    <row r="35" spans="1:10" s="119" customFormat="1" ht="25" customHeight="1" x14ac:dyDescent="0.2">
      <c r="A35" s="184" t="s">
        <v>126</v>
      </c>
      <c r="B35" s="185" t="s">
        <v>127</v>
      </c>
      <c r="C35" s="52">
        <v>1.8585789353438429</v>
      </c>
      <c r="D35" s="54">
        <v>1627</v>
      </c>
      <c r="E35" s="53">
        <v>1607</v>
      </c>
      <c r="F35" s="53">
        <v>1585</v>
      </c>
      <c r="G35" s="53">
        <v>1679</v>
      </c>
      <c r="H35" s="79">
        <v>1646</v>
      </c>
      <c r="I35" s="54">
        <v>-19</v>
      </c>
      <c r="J35" s="55">
        <v>-1.1543134872417984</v>
      </c>
    </row>
    <row r="36" spans="1:10" ht="25" customHeight="1" x14ac:dyDescent="0.2">
      <c r="A36" s="186" t="s">
        <v>167</v>
      </c>
      <c r="B36" s="187" t="s">
        <v>168</v>
      </c>
      <c r="C36" s="52">
        <v>32.165867032213846</v>
      </c>
      <c r="D36" s="54">
        <v>28158</v>
      </c>
      <c r="E36" s="53">
        <v>28084</v>
      </c>
      <c r="F36" s="53">
        <v>28301</v>
      </c>
      <c r="G36" s="53">
        <v>28693</v>
      </c>
      <c r="H36" s="79">
        <v>28435</v>
      </c>
      <c r="I36" s="54">
        <v>-277</v>
      </c>
      <c r="J36" s="55">
        <v>-0.97415157376472661</v>
      </c>
    </row>
    <row r="37" spans="1:10" ht="25" customHeight="1" x14ac:dyDescent="0.2">
      <c r="A37" s="188" t="s">
        <v>169</v>
      </c>
      <c r="B37" s="189" t="s">
        <v>170</v>
      </c>
      <c r="C37" s="64">
        <v>65.975554032442318</v>
      </c>
      <c r="D37" s="82">
        <v>57755</v>
      </c>
      <c r="E37" s="83">
        <v>57664</v>
      </c>
      <c r="F37" s="83">
        <v>58451</v>
      </c>
      <c r="G37" s="83">
        <v>58930</v>
      </c>
      <c r="H37" s="84">
        <v>58184</v>
      </c>
      <c r="I37" s="82">
        <v>-429</v>
      </c>
      <c r="J37" s="85">
        <v>-0.73731610064622577</v>
      </c>
    </row>
    <row r="38" spans="1:10" s="87" customFormat="1" ht="11.25" customHeight="1" x14ac:dyDescent="0.2">
      <c r="J38" s="88" t="s">
        <v>37</v>
      </c>
    </row>
    <row r="39" spans="1:10" s="87" customFormat="1" ht="12.75" customHeight="1" x14ac:dyDescent="0.2">
      <c r="A39" s="87" t="s">
        <v>116</v>
      </c>
    </row>
    <row r="40" spans="1:10" s="60" customFormat="1" ht="30.65" customHeight="1" x14ac:dyDescent="0.2">
      <c r="A40" s="440" t="s">
        <v>221</v>
      </c>
      <c r="B40" s="440"/>
      <c r="C40" s="440"/>
      <c r="D40" s="440"/>
      <c r="E40" s="440"/>
      <c r="F40" s="440"/>
      <c r="G40" s="440"/>
      <c r="H40" s="440"/>
      <c r="I40" s="440"/>
      <c r="J40" s="440"/>
    </row>
    <row r="41" spans="1:10" s="60" customFormat="1" ht="12.75" customHeight="1" x14ac:dyDescent="0.2">
      <c r="A41" s="440"/>
      <c r="B41" s="440"/>
      <c r="C41" s="440"/>
      <c r="D41" s="440"/>
      <c r="E41" s="440"/>
      <c r="F41" s="440"/>
      <c r="G41" s="440"/>
      <c r="H41" s="440"/>
      <c r="I41" s="440"/>
      <c r="J41" s="440"/>
    </row>
    <row r="42" spans="1:10" s="60" customFormat="1" ht="12.75" customHeight="1" x14ac:dyDescent="0.2">
      <c r="A42" s="440"/>
      <c r="B42" s="440"/>
      <c r="C42" s="440"/>
      <c r="D42" s="440"/>
      <c r="E42" s="440"/>
      <c r="F42" s="440"/>
      <c r="G42" s="440"/>
      <c r="H42" s="440"/>
      <c r="I42" s="440"/>
      <c r="J42" s="440"/>
    </row>
    <row r="43" spans="1:10" ht="12.75" customHeight="1" x14ac:dyDescent="0.2">
      <c r="C43" s="37"/>
      <c r="D43" s="37"/>
      <c r="E43" s="37"/>
      <c r="F43" s="37"/>
      <c r="G43" s="37"/>
      <c r="H43" s="37"/>
      <c r="I43" s="37"/>
      <c r="J43" s="37"/>
    </row>
    <row r="44" spans="1:10" ht="16" customHeight="1" x14ac:dyDescent="0.2">
      <c r="C44" s="37"/>
      <c r="D44" s="37"/>
      <c r="E44" s="37"/>
      <c r="F44" s="37"/>
      <c r="G44" s="37"/>
      <c r="H44" s="37"/>
      <c r="I44" s="37"/>
      <c r="J44" s="37"/>
    </row>
    <row r="45" spans="1:10" ht="16" customHeight="1" x14ac:dyDescent="0.2">
      <c r="C45" s="37"/>
      <c r="D45" s="37"/>
      <c r="E45" s="37"/>
      <c r="F45" s="37"/>
      <c r="G45" s="37"/>
      <c r="H45" s="37"/>
      <c r="I45" s="37"/>
      <c r="J45" s="37"/>
    </row>
    <row r="46" spans="1:10" ht="16" customHeight="1" x14ac:dyDescent="0.2">
      <c r="C46" s="37"/>
      <c r="D46" s="37"/>
      <c r="E46" s="37"/>
      <c r="F46" s="37"/>
      <c r="G46" s="37"/>
      <c r="H46" s="37"/>
      <c r="I46" s="37"/>
      <c r="J46" s="37"/>
    </row>
    <row r="47" spans="1:10" ht="16" customHeight="1" x14ac:dyDescent="0.2">
      <c r="C47" s="37"/>
      <c r="D47" s="37"/>
      <c r="E47" s="37"/>
      <c r="F47" s="37"/>
      <c r="G47" s="37"/>
      <c r="H47" s="37"/>
      <c r="I47" s="37"/>
      <c r="J47" s="37"/>
    </row>
    <row r="48" spans="1:10" ht="16" customHeight="1" x14ac:dyDescent="0.2">
      <c r="C48" s="37"/>
      <c r="D48" s="37"/>
      <c r="E48" s="37"/>
      <c r="F48" s="37"/>
      <c r="G48" s="37"/>
      <c r="H48" s="37"/>
      <c r="I48" s="37"/>
      <c r="J48" s="37"/>
    </row>
    <row r="49" s="37" customFormat="1" ht="16" customHeight="1" x14ac:dyDescent="0.2"/>
    <row r="50" s="37" customFormat="1" ht="16" customHeight="1" x14ac:dyDescent="0.2"/>
    <row r="51" s="37" customFormat="1" ht="16" customHeight="1" x14ac:dyDescent="0.2"/>
    <row r="52" s="37" customFormat="1" ht="16" customHeight="1" x14ac:dyDescent="0.2"/>
    <row r="53" s="37" customFormat="1" ht="16" customHeight="1" x14ac:dyDescent="0.2"/>
    <row r="54" s="37" customFormat="1" ht="16" customHeight="1" x14ac:dyDescent="0.2"/>
    <row r="55" s="37" customFormat="1" ht="16" customHeight="1" x14ac:dyDescent="0.2"/>
    <row r="56" s="37" customFormat="1" ht="16" customHeight="1" x14ac:dyDescent="0.2"/>
    <row r="57" s="37" customFormat="1" ht="16" customHeight="1" x14ac:dyDescent="0.2"/>
    <row r="58" s="37" customFormat="1" ht="16" customHeight="1" x14ac:dyDescent="0.2"/>
    <row r="59" s="37" customFormat="1" ht="16" customHeight="1" x14ac:dyDescent="0.2"/>
    <row r="60" s="37" customFormat="1" ht="16" customHeight="1" x14ac:dyDescent="0.2"/>
    <row r="61" s="37" customFormat="1" ht="16" customHeight="1" x14ac:dyDescent="0.2"/>
    <row r="62" s="37" customFormat="1" ht="16" customHeight="1" x14ac:dyDescent="0.2"/>
    <row r="63" s="37" customFormat="1" ht="16" customHeight="1" x14ac:dyDescent="0.2"/>
    <row r="64" s="37" customFormat="1" ht="16" customHeight="1" x14ac:dyDescent="0.2"/>
    <row r="65" s="37" customFormat="1" ht="16" customHeight="1" x14ac:dyDescent="0.2"/>
    <row r="66" s="37" customFormat="1" ht="16" customHeight="1" x14ac:dyDescent="0.2"/>
    <row r="67" s="37" customFormat="1" ht="16" customHeight="1" x14ac:dyDescent="0.2"/>
    <row r="68" s="37" customFormat="1" ht="16" customHeight="1" x14ac:dyDescent="0.2"/>
    <row r="69" s="37" customFormat="1" ht="16" customHeight="1" x14ac:dyDescent="0.2"/>
    <row r="70" s="37" customFormat="1" ht="16" customHeight="1" x14ac:dyDescent="0.2"/>
    <row r="71" s="37" customFormat="1" ht="16" customHeight="1" x14ac:dyDescent="0.2"/>
    <row r="72" s="37" customFormat="1" ht="16" customHeight="1" x14ac:dyDescent="0.2"/>
    <row r="73" s="37" customFormat="1" ht="16" customHeight="1" x14ac:dyDescent="0.2"/>
    <row r="74" s="37" customFormat="1" ht="16" customHeight="1" x14ac:dyDescent="0.2"/>
    <row r="75" s="37" customFormat="1" ht="16" customHeight="1" x14ac:dyDescent="0.2"/>
    <row r="76" s="37" customFormat="1" ht="16" customHeight="1" x14ac:dyDescent="0.2"/>
    <row r="77" s="37" customFormat="1" ht="16" customHeight="1" x14ac:dyDescent="0.2"/>
    <row r="78" s="37" customFormat="1" ht="16" customHeight="1" x14ac:dyDescent="0.2"/>
    <row r="79" s="37" customFormat="1" ht="16" customHeight="1" x14ac:dyDescent="0.2"/>
    <row r="80" s="37" customFormat="1" ht="16" customHeight="1" x14ac:dyDescent="0.2"/>
    <row r="81" s="37" customFormat="1" ht="16" customHeight="1" x14ac:dyDescent="0.2"/>
    <row r="82" s="37" customFormat="1" ht="16" customHeight="1" x14ac:dyDescent="0.2"/>
    <row r="83" s="37" customFormat="1" ht="16" customHeight="1" x14ac:dyDescent="0.2"/>
    <row r="84" s="37" customFormat="1" ht="16" customHeight="1" x14ac:dyDescent="0.2"/>
    <row r="85" s="37" customFormat="1" ht="16" customHeight="1" x14ac:dyDescent="0.2"/>
    <row r="86" s="37" customFormat="1" ht="16" customHeight="1" x14ac:dyDescent="0.2"/>
    <row r="87" s="37" customFormat="1" ht="16" customHeight="1" x14ac:dyDescent="0.2"/>
    <row r="88" s="37" customFormat="1" ht="16" customHeight="1" x14ac:dyDescent="0.2"/>
    <row r="89" s="37" customFormat="1" ht="16" customHeight="1" x14ac:dyDescent="0.2"/>
    <row r="90" s="37" customFormat="1" ht="16" customHeight="1" x14ac:dyDescent="0.2"/>
    <row r="91" s="37" customFormat="1" ht="16" customHeight="1" x14ac:dyDescent="0.2"/>
    <row r="92" s="37" customFormat="1" ht="16" customHeight="1" x14ac:dyDescent="0.2"/>
    <row r="93" s="37" customFormat="1" ht="16" customHeight="1" x14ac:dyDescent="0.2"/>
    <row r="94" s="37" customFormat="1" ht="16" customHeight="1" x14ac:dyDescent="0.2"/>
    <row r="95" s="37" customFormat="1" ht="16" customHeight="1" x14ac:dyDescent="0.2"/>
    <row r="96" s="37" customFormat="1" ht="16" customHeight="1" x14ac:dyDescent="0.2"/>
    <row r="97" s="37" customFormat="1" ht="16" customHeight="1" x14ac:dyDescent="0.2"/>
    <row r="98" s="37" customFormat="1" ht="16" customHeight="1" x14ac:dyDescent="0.2"/>
    <row r="99" s="37" customFormat="1" ht="16" customHeight="1" x14ac:dyDescent="0.2"/>
    <row r="100" s="37" customFormat="1" ht="16" customHeight="1" x14ac:dyDescent="0.2"/>
    <row r="101" s="37" customFormat="1" ht="16" customHeight="1" x14ac:dyDescent="0.2"/>
    <row r="102" s="37" customFormat="1" ht="16" customHeight="1" x14ac:dyDescent="0.2"/>
    <row r="103" s="37" customFormat="1" ht="16" customHeight="1" x14ac:dyDescent="0.2"/>
    <row r="104" s="37" customFormat="1" ht="16" customHeight="1" x14ac:dyDescent="0.2"/>
    <row r="105" s="37" customFormat="1" ht="16" customHeight="1" x14ac:dyDescent="0.2"/>
    <row r="106" s="37" customFormat="1" ht="16" customHeight="1" x14ac:dyDescent="0.2"/>
    <row r="107" s="37" customFormat="1" ht="16" customHeight="1" x14ac:dyDescent="0.2"/>
    <row r="108" s="37" customFormat="1" ht="16" customHeight="1" x14ac:dyDescent="0.2"/>
    <row r="109" s="37" customFormat="1" ht="16" customHeight="1" x14ac:dyDescent="0.2"/>
    <row r="110" s="37" customFormat="1" ht="16" customHeight="1" x14ac:dyDescent="0.2"/>
    <row r="111" s="37" customFormat="1" ht="16" customHeight="1" x14ac:dyDescent="0.2"/>
    <row r="112" s="37" customFormat="1" ht="16" customHeight="1" x14ac:dyDescent="0.2"/>
    <row r="113" s="37" customFormat="1" ht="16" customHeight="1" x14ac:dyDescent="0.2"/>
    <row r="114" s="37" customFormat="1" ht="16" customHeight="1" x14ac:dyDescent="0.2"/>
    <row r="115" s="37" customFormat="1" ht="16" customHeight="1" x14ac:dyDescent="0.2"/>
    <row r="116" s="37" customFormat="1" ht="16" customHeight="1" x14ac:dyDescent="0.2"/>
    <row r="117" s="37" customFormat="1" ht="16" customHeight="1" x14ac:dyDescent="0.2"/>
    <row r="118" s="37" customFormat="1" ht="16" customHeight="1" x14ac:dyDescent="0.2"/>
    <row r="119" s="37" customFormat="1" ht="16" customHeight="1" x14ac:dyDescent="0.2"/>
    <row r="120" s="37" customFormat="1" ht="16" customHeight="1" x14ac:dyDescent="0.2"/>
    <row r="121" s="37" customFormat="1" ht="16" customHeight="1" x14ac:dyDescent="0.2"/>
    <row r="122" s="37" customFormat="1" ht="16" customHeight="1" x14ac:dyDescent="0.2"/>
    <row r="123" s="37" customFormat="1" ht="16" customHeight="1" x14ac:dyDescent="0.2"/>
    <row r="124" s="37" customFormat="1" ht="16" customHeight="1" x14ac:dyDescent="0.2"/>
    <row r="125" s="37" customFormat="1" ht="16" customHeight="1" x14ac:dyDescent="0.2"/>
    <row r="126" s="37" customFormat="1" ht="16" customHeight="1" x14ac:dyDescent="0.2"/>
    <row r="127" s="37" customFormat="1" ht="16" customHeight="1" x14ac:dyDescent="0.2"/>
    <row r="128" s="37" customFormat="1" ht="16" customHeight="1" x14ac:dyDescent="0.2"/>
    <row r="129" s="37" customFormat="1" ht="16" customHeight="1" x14ac:dyDescent="0.2"/>
    <row r="130" s="37" customFormat="1" ht="16" customHeight="1" x14ac:dyDescent="0.2"/>
    <row r="131" s="37" customFormat="1" ht="16" customHeight="1" x14ac:dyDescent="0.2"/>
    <row r="132" s="37" customFormat="1" ht="16" customHeight="1" x14ac:dyDescent="0.2"/>
    <row r="133" s="37" customFormat="1" ht="16" customHeight="1" x14ac:dyDescent="0.2"/>
    <row r="134" s="37" customFormat="1" ht="16" customHeight="1" x14ac:dyDescent="0.2"/>
    <row r="135" s="37" customFormat="1" ht="16" customHeight="1" x14ac:dyDescent="0.2"/>
    <row r="136" s="37" customFormat="1" ht="16" customHeight="1" x14ac:dyDescent="0.2"/>
    <row r="137" s="37" customFormat="1" ht="16" customHeight="1" x14ac:dyDescent="0.2"/>
    <row r="138" s="37" customFormat="1" ht="16" customHeight="1" x14ac:dyDescent="0.2"/>
    <row r="139" s="37" customFormat="1" ht="16" customHeight="1" x14ac:dyDescent="0.2"/>
    <row r="140" s="37" customFormat="1" ht="16" customHeight="1" x14ac:dyDescent="0.2"/>
    <row r="141" s="37" customFormat="1" ht="16" customHeight="1" x14ac:dyDescent="0.2"/>
    <row r="142" s="37" customFormat="1" ht="16" customHeight="1" x14ac:dyDescent="0.2"/>
    <row r="143" s="37" customFormat="1" ht="16" customHeight="1" x14ac:dyDescent="0.2"/>
    <row r="144" s="37" customFormat="1" ht="16" customHeight="1" x14ac:dyDescent="0.2"/>
    <row r="145" s="37" customFormat="1" ht="16" customHeight="1" x14ac:dyDescent="0.2"/>
    <row r="146" s="37" customFormat="1" ht="16" customHeight="1" x14ac:dyDescent="0.2"/>
    <row r="147" s="37" customFormat="1" ht="16" customHeight="1" x14ac:dyDescent="0.2"/>
    <row r="148" s="37" customFormat="1" ht="16" customHeight="1" x14ac:dyDescent="0.2"/>
    <row r="149" s="37" customFormat="1" ht="16" customHeight="1" x14ac:dyDescent="0.2"/>
    <row r="150" s="37" customFormat="1" ht="16" customHeight="1" x14ac:dyDescent="0.2"/>
    <row r="151" s="37" customFormat="1" ht="16" customHeight="1" x14ac:dyDescent="0.2"/>
    <row r="152" s="37" customFormat="1" ht="16" customHeight="1" x14ac:dyDescent="0.2"/>
    <row r="153" s="37" customFormat="1" ht="16" customHeight="1" x14ac:dyDescent="0.2"/>
    <row r="154" s="37" customFormat="1" ht="16" customHeight="1" x14ac:dyDescent="0.2"/>
    <row r="155" s="37" customFormat="1" ht="16" customHeight="1" x14ac:dyDescent="0.2"/>
    <row r="156" s="37" customFormat="1" ht="16" customHeight="1" x14ac:dyDescent="0.2"/>
    <row r="157" s="37" customFormat="1" ht="16" customHeight="1" x14ac:dyDescent="0.2"/>
    <row r="158" s="37" customFormat="1" ht="16" customHeight="1" x14ac:dyDescent="0.2"/>
    <row r="159" s="37" customFormat="1" ht="16" customHeight="1" x14ac:dyDescent="0.2"/>
    <row r="160" s="37" customFormat="1" ht="16" customHeight="1" x14ac:dyDescent="0.2"/>
    <row r="161" s="37" customFormat="1" ht="16" customHeight="1" x14ac:dyDescent="0.2"/>
    <row r="162" s="37" customFormat="1" ht="16" customHeight="1" x14ac:dyDescent="0.2"/>
    <row r="163" s="37" customFormat="1" ht="16" customHeight="1" x14ac:dyDescent="0.2"/>
    <row r="164" s="37" customFormat="1" ht="16" customHeight="1" x14ac:dyDescent="0.2"/>
    <row r="165" s="37" customFormat="1" ht="16" customHeight="1" x14ac:dyDescent="0.2"/>
    <row r="166" s="37" customFormat="1" ht="16" customHeight="1" x14ac:dyDescent="0.2"/>
    <row r="167" s="37" customFormat="1" ht="16" customHeight="1" x14ac:dyDescent="0.2"/>
    <row r="168" s="37" customFormat="1" ht="16" customHeight="1" x14ac:dyDescent="0.2"/>
    <row r="169" s="37" customFormat="1" ht="16" customHeight="1" x14ac:dyDescent="0.2"/>
    <row r="170" s="37" customFormat="1" ht="16" customHeight="1" x14ac:dyDescent="0.2"/>
    <row r="171" s="37" customFormat="1" ht="16" customHeight="1" x14ac:dyDescent="0.2"/>
    <row r="172" s="37" customFormat="1" ht="16" customHeight="1" x14ac:dyDescent="0.2"/>
    <row r="173" s="37" customFormat="1" ht="16" customHeight="1" x14ac:dyDescent="0.2"/>
    <row r="174" s="37" customFormat="1" ht="16" customHeight="1" x14ac:dyDescent="0.2"/>
    <row r="175" s="37" customFormat="1" ht="16" customHeight="1" x14ac:dyDescent="0.2"/>
    <row r="176" s="37" customFormat="1" ht="16" customHeight="1" x14ac:dyDescent="0.2"/>
    <row r="177" s="37" customFormat="1" ht="16" customHeight="1" x14ac:dyDescent="0.2"/>
    <row r="178" s="37" customFormat="1" ht="16" customHeight="1" x14ac:dyDescent="0.2"/>
    <row r="179" s="37" customFormat="1" ht="16" customHeight="1" x14ac:dyDescent="0.2"/>
    <row r="180" s="37" customFormat="1" ht="16" customHeight="1" x14ac:dyDescent="0.2"/>
    <row r="181" s="37" customFormat="1" ht="16" customHeight="1" x14ac:dyDescent="0.2"/>
    <row r="182" s="37" customFormat="1" ht="16" customHeight="1" x14ac:dyDescent="0.2"/>
    <row r="183" s="37" customFormat="1" ht="16" customHeight="1" x14ac:dyDescent="0.2"/>
    <row r="184" s="37" customFormat="1" ht="16" customHeight="1" x14ac:dyDescent="0.2"/>
    <row r="185" s="37" customFormat="1" ht="16" customHeight="1" x14ac:dyDescent="0.2"/>
    <row r="186" s="37" customFormat="1" ht="16" customHeight="1" x14ac:dyDescent="0.2"/>
    <row r="187" s="37" customFormat="1" ht="16" customHeight="1" x14ac:dyDescent="0.2"/>
    <row r="188" s="37" customFormat="1" ht="16" customHeight="1" x14ac:dyDescent="0.2"/>
    <row r="189" s="37" customFormat="1" ht="16" customHeight="1" x14ac:dyDescent="0.2"/>
    <row r="190" s="37" customFormat="1" ht="16" customHeight="1" x14ac:dyDescent="0.2"/>
    <row r="191" s="37" customFormat="1" ht="16" customHeight="1" x14ac:dyDescent="0.2"/>
    <row r="192" s="37" customFormat="1" ht="16" customHeight="1" x14ac:dyDescent="0.2"/>
    <row r="193" s="37" customFormat="1" ht="16" customHeight="1" x14ac:dyDescent="0.2"/>
    <row r="194" s="37" customFormat="1" ht="16" customHeight="1" x14ac:dyDescent="0.2"/>
    <row r="195" s="37" customFormat="1" ht="16" customHeight="1" x14ac:dyDescent="0.2"/>
    <row r="196" s="37" customFormat="1" ht="16" customHeight="1" x14ac:dyDescent="0.2"/>
    <row r="197" s="37" customFormat="1" ht="16" customHeight="1" x14ac:dyDescent="0.2"/>
    <row r="198" s="37" customFormat="1" ht="16" customHeight="1" x14ac:dyDescent="0.2"/>
    <row r="199" s="37" customFormat="1" ht="16" customHeight="1" x14ac:dyDescent="0.2"/>
    <row r="200" s="37" customFormat="1" ht="16" customHeight="1" x14ac:dyDescent="0.2"/>
  </sheetData>
  <mergeCells count="16">
    <mergeCell ref="A42:J42"/>
    <mergeCell ref="A3:J3"/>
    <mergeCell ref="A4:J4"/>
    <mergeCell ref="A5:D5"/>
    <mergeCell ref="A7:B9"/>
    <mergeCell ref="C7:C10"/>
    <mergeCell ref="D7:H7"/>
    <mergeCell ref="I7:J8"/>
    <mergeCell ref="D8:D9"/>
    <mergeCell ref="E8:E9"/>
    <mergeCell ref="F8:F9"/>
    <mergeCell ref="G8:G9"/>
    <mergeCell ref="H8:H9"/>
    <mergeCell ref="A11:B11"/>
    <mergeCell ref="A40:J40"/>
    <mergeCell ref="A41:J41"/>
  </mergeCells>
  <printOptions horizontalCentered="1"/>
  <pageMargins left="0.7" right="0.7" top="0.75" bottom="0.75" header="0.3" footer="0.3"/>
  <pageSetup paperSize="9" scale="67"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08753-B1B3-47EB-A531-A1EC6C3AFC70}">
  <sheetPr codeName="Tabelle8">
    <pageSetUpPr fitToPage="1"/>
  </sheetPr>
  <dimension ref="A1:IU204"/>
  <sheetViews>
    <sheetView showGridLines="0" zoomScaleNormal="100" workbookViewId="0"/>
  </sheetViews>
  <sheetFormatPr defaultColWidth="8.81640625" defaultRowHeight="16" customHeight="1" x14ac:dyDescent="0.2"/>
  <cols>
    <col min="1" max="1" width="6.7265625" style="37" customWidth="1"/>
    <col min="2" max="2" width="29.7265625" style="37" customWidth="1"/>
    <col min="3" max="3" width="3.7265625" style="37" customWidth="1"/>
    <col min="4" max="4" width="6.7265625" style="61" customWidth="1"/>
    <col min="5" max="10" width="9.7265625" style="90" customWidth="1"/>
    <col min="11" max="11" width="9.7265625" style="91" customWidth="1"/>
    <col min="12" max="16384" width="8.81640625" style="37"/>
  </cols>
  <sheetData>
    <row r="1" spans="1:255" customFormat="1" ht="36.75" customHeight="1" x14ac:dyDescent="0.25">
      <c r="A1" s="30"/>
      <c r="B1" s="31"/>
      <c r="C1" s="31"/>
      <c r="D1" s="31"/>
      <c r="E1" s="31"/>
      <c r="F1" s="31"/>
      <c r="G1" s="31"/>
      <c r="H1" s="31"/>
      <c r="I1" s="31"/>
      <c r="J1" s="31"/>
      <c r="K1" s="32" t="s">
        <v>40</v>
      </c>
    </row>
    <row r="2" spans="1:255" customFormat="1" ht="11.25" customHeight="1" x14ac:dyDescent="0.25">
      <c r="A2" s="33"/>
      <c r="B2" s="34"/>
      <c r="C2" s="34"/>
      <c r="D2" s="34"/>
      <c r="E2" s="34"/>
      <c r="F2" s="34"/>
      <c r="G2" s="34"/>
      <c r="H2" s="34"/>
      <c r="I2" s="34"/>
      <c r="J2" s="34"/>
      <c r="K2" s="34"/>
    </row>
    <row r="3" spans="1:255" s="35" customFormat="1" ht="20.149999999999999" customHeight="1" x14ac:dyDescent="0.35">
      <c r="A3" s="445" t="s">
        <v>222</v>
      </c>
      <c r="B3" s="445"/>
      <c r="C3" s="445"/>
      <c r="D3" s="445"/>
      <c r="E3" s="445"/>
      <c r="F3" s="445"/>
      <c r="G3" s="445"/>
      <c r="H3" s="445"/>
      <c r="I3" s="445"/>
      <c r="J3" s="445"/>
      <c r="K3" s="445"/>
    </row>
    <row r="4" spans="1:255" s="35" customFormat="1" ht="12" customHeight="1" x14ac:dyDescent="0.35">
      <c r="A4" s="446" t="s">
        <v>86</v>
      </c>
      <c r="B4" s="446"/>
      <c r="C4" s="446"/>
      <c r="D4" s="446"/>
      <c r="E4" s="446"/>
      <c r="F4" s="446"/>
      <c r="G4" s="446"/>
      <c r="H4" s="446"/>
      <c r="I4" s="446"/>
      <c r="J4" s="446"/>
      <c r="K4" s="446"/>
    </row>
    <row r="5" spans="1:255" s="35" customFormat="1" ht="12" customHeight="1" x14ac:dyDescent="0.35">
      <c r="A5" s="447" t="s">
        <v>42</v>
      </c>
      <c r="B5" s="447"/>
      <c r="C5" s="447"/>
      <c r="D5" s="447"/>
      <c r="E5" s="447"/>
      <c r="F5" s="165"/>
      <c r="G5" s="165"/>
      <c r="H5" s="165"/>
      <c r="I5" s="165"/>
      <c r="J5" s="165"/>
      <c r="K5" s="165"/>
    </row>
    <row r="6" spans="1:255" s="35" customFormat="1" ht="11.25" customHeight="1" x14ac:dyDescent="0.35">
      <c r="A6" s="145"/>
      <c r="B6" s="146"/>
      <c r="C6" s="146"/>
      <c r="D6" s="146"/>
      <c r="E6" s="146"/>
      <c r="F6" s="146"/>
      <c r="G6" s="146"/>
      <c r="H6" s="146"/>
      <c r="I6" s="146"/>
      <c r="J6" s="146"/>
    </row>
    <row r="7" spans="1:255" customFormat="1" ht="12" customHeight="1" x14ac:dyDescent="0.25">
      <c r="A7" s="462" t="s">
        <v>223</v>
      </c>
      <c r="B7" s="451"/>
      <c r="C7" s="451"/>
      <c r="D7" s="456" t="s">
        <v>88</v>
      </c>
      <c r="E7" s="459" t="s">
        <v>175</v>
      </c>
      <c r="F7" s="460"/>
      <c r="G7" s="460"/>
      <c r="H7" s="460"/>
      <c r="I7" s="461"/>
      <c r="J7" s="462" t="s">
        <v>176</v>
      </c>
      <c r="K7" s="463"/>
      <c r="L7" s="37"/>
      <c r="M7" s="37"/>
      <c r="N7" s="37"/>
    </row>
    <row r="8" spans="1:255" ht="21.75" customHeight="1" x14ac:dyDescent="0.2">
      <c r="A8" s="452"/>
      <c r="B8" s="453"/>
      <c r="C8" s="453"/>
      <c r="D8" s="457"/>
      <c r="E8" s="438" t="s">
        <v>91</v>
      </c>
      <c r="F8" s="438" t="s">
        <v>92</v>
      </c>
      <c r="G8" s="438" t="s">
        <v>93</v>
      </c>
      <c r="H8" s="438" t="s">
        <v>94</v>
      </c>
      <c r="I8" s="438" t="s">
        <v>95</v>
      </c>
      <c r="J8" s="464"/>
      <c r="K8" s="465"/>
    </row>
    <row r="9" spans="1:255" ht="12" customHeight="1" x14ac:dyDescent="0.2">
      <c r="A9" s="452"/>
      <c r="B9" s="453"/>
      <c r="C9" s="453"/>
      <c r="D9" s="457"/>
      <c r="E9" s="439"/>
      <c r="F9" s="439"/>
      <c r="G9" s="439"/>
      <c r="H9" s="439"/>
      <c r="I9" s="439"/>
      <c r="J9" s="38" t="s">
        <v>96</v>
      </c>
      <c r="K9" s="39" t="s">
        <v>97</v>
      </c>
    </row>
    <row r="10" spans="1:255" ht="12" customHeight="1" x14ac:dyDescent="0.2">
      <c r="A10" s="454"/>
      <c r="B10" s="455"/>
      <c r="C10" s="455"/>
      <c r="D10" s="458"/>
      <c r="E10" s="40">
        <v>1</v>
      </c>
      <c r="F10" s="40">
        <v>2</v>
      </c>
      <c r="G10" s="40">
        <v>3</v>
      </c>
      <c r="H10" s="40">
        <v>4</v>
      </c>
      <c r="I10" s="40">
        <v>5</v>
      </c>
      <c r="J10" s="40">
        <v>6</v>
      </c>
      <c r="K10" s="40">
        <v>7</v>
      </c>
    </row>
    <row r="11" spans="1:255" ht="18" customHeight="1" x14ac:dyDescent="0.2">
      <c r="A11" s="190" t="s">
        <v>98</v>
      </c>
      <c r="B11" s="191"/>
      <c r="C11" s="192"/>
      <c r="D11" s="193">
        <v>100</v>
      </c>
      <c r="E11" s="194">
        <v>87540</v>
      </c>
      <c r="F11" s="195">
        <v>87355</v>
      </c>
      <c r="G11" s="195">
        <v>88337</v>
      </c>
      <c r="H11" s="195">
        <v>89302</v>
      </c>
      <c r="I11" s="196">
        <v>88265</v>
      </c>
      <c r="J11" s="197">
        <v>-725</v>
      </c>
      <c r="K11" s="198">
        <v>-0.8213901319888971</v>
      </c>
    </row>
    <row r="12" spans="1:255" ht="18" customHeight="1" x14ac:dyDescent="0.2">
      <c r="A12" s="199" t="s">
        <v>224</v>
      </c>
      <c r="B12" s="200"/>
      <c r="C12" s="200"/>
      <c r="D12" s="201"/>
      <c r="E12" s="201"/>
      <c r="F12" s="201"/>
      <c r="G12" s="201"/>
      <c r="H12" s="201"/>
      <c r="I12" s="201"/>
      <c r="J12" s="201"/>
      <c r="K12" s="202"/>
      <c r="L12" s="170"/>
      <c r="M12" s="170"/>
      <c r="N12" s="170"/>
      <c r="O12" s="170"/>
      <c r="P12" s="170"/>
      <c r="Q12" s="170"/>
      <c r="R12" s="170"/>
      <c r="S12" s="170"/>
      <c r="T12" s="170"/>
      <c r="U12" s="170"/>
      <c r="V12" s="170"/>
      <c r="W12" s="170"/>
      <c r="X12" s="170"/>
      <c r="Y12" s="170"/>
      <c r="Z12" s="170"/>
      <c r="AA12" s="170"/>
      <c r="AB12" s="170"/>
      <c r="AC12" s="170"/>
      <c r="AD12" s="170"/>
      <c r="AE12" s="170"/>
      <c r="AF12" s="170"/>
      <c r="AG12" s="170"/>
      <c r="AH12" s="170"/>
      <c r="AI12" s="170"/>
      <c r="AJ12" s="170"/>
      <c r="AK12" s="170"/>
      <c r="AL12" s="170"/>
      <c r="AM12" s="170"/>
      <c r="AN12" s="170"/>
      <c r="AO12" s="170"/>
      <c r="AP12" s="170"/>
      <c r="AQ12" s="170"/>
      <c r="AR12" s="170"/>
      <c r="AS12" s="170"/>
      <c r="AT12" s="170"/>
      <c r="AU12" s="170"/>
      <c r="AV12" s="170"/>
      <c r="AW12" s="170"/>
      <c r="AX12" s="170"/>
      <c r="AY12" s="170"/>
      <c r="AZ12" s="170"/>
      <c r="BA12" s="170"/>
      <c r="BB12" s="170"/>
      <c r="BC12" s="170"/>
      <c r="BD12" s="170"/>
      <c r="BE12" s="170"/>
      <c r="BF12" s="170"/>
      <c r="BG12" s="170"/>
      <c r="BH12" s="170"/>
      <c r="BI12" s="170"/>
      <c r="BJ12" s="170"/>
      <c r="BK12" s="170"/>
      <c r="BL12" s="170"/>
      <c r="BM12" s="170"/>
      <c r="BN12" s="170"/>
      <c r="BO12" s="170"/>
      <c r="BP12" s="170"/>
      <c r="BQ12" s="170"/>
      <c r="BR12" s="170"/>
      <c r="BS12" s="170"/>
      <c r="BT12" s="170"/>
      <c r="BU12" s="170"/>
      <c r="BV12" s="170"/>
      <c r="BW12" s="170"/>
      <c r="BX12" s="170"/>
      <c r="BY12" s="170"/>
      <c r="BZ12" s="170"/>
      <c r="CA12" s="170"/>
      <c r="CB12" s="170"/>
      <c r="CC12" s="170"/>
      <c r="CD12" s="170"/>
      <c r="CE12" s="170"/>
      <c r="CF12" s="170"/>
      <c r="CG12" s="170"/>
      <c r="CH12" s="170"/>
      <c r="CI12" s="170"/>
      <c r="CJ12" s="170"/>
      <c r="CK12" s="170"/>
      <c r="CL12" s="170"/>
      <c r="CM12" s="170"/>
      <c r="CN12" s="170"/>
      <c r="CO12" s="170"/>
      <c r="CP12" s="170"/>
      <c r="CQ12" s="170"/>
      <c r="CR12" s="170"/>
      <c r="CS12" s="170"/>
      <c r="CT12" s="170"/>
      <c r="CU12" s="170"/>
      <c r="CV12" s="170"/>
      <c r="CW12" s="170"/>
      <c r="CX12" s="170"/>
      <c r="CY12" s="170"/>
      <c r="CZ12" s="170"/>
      <c r="DA12" s="170"/>
      <c r="DB12" s="170"/>
      <c r="DC12" s="170"/>
      <c r="DD12" s="170"/>
      <c r="DE12" s="170"/>
      <c r="DF12" s="170"/>
      <c r="DG12" s="170"/>
      <c r="DH12" s="170"/>
      <c r="DI12" s="170"/>
      <c r="DJ12" s="170"/>
      <c r="DK12" s="170"/>
      <c r="DL12" s="170"/>
      <c r="DM12" s="170"/>
      <c r="DN12" s="170"/>
      <c r="DO12" s="170"/>
      <c r="DP12" s="170"/>
      <c r="DQ12" s="170"/>
      <c r="DR12" s="170"/>
      <c r="DS12" s="170"/>
      <c r="DT12" s="170"/>
      <c r="DU12" s="170"/>
      <c r="DV12" s="170"/>
      <c r="DW12" s="170"/>
      <c r="DX12" s="170"/>
      <c r="DY12" s="170"/>
      <c r="DZ12" s="170"/>
      <c r="EA12" s="170"/>
      <c r="EB12" s="170"/>
      <c r="EC12" s="170"/>
      <c r="ED12" s="170"/>
      <c r="EE12" s="170"/>
      <c r="EF12" s="170"/>
      <c r="EG12" s="170"/>
      <c r="EH12" s="170"/>
      <c r="EI12" s="170"/>
      <c r="EJ12" s="170"/>
      <c r="EK12" s="170"/>
      <c r="EL12" s="170"/>
      <c r="EM12" s="170"/>
      <c r="EN12" s="170"/>
      <c r="EO12" s="170"/>
      <c r="EP12" s="170"/>
      <c r="EQ12" s="170"/>
      <c r="ER12" s="170"/>
      <c r="ES12" s="170"/>
      <c r="ET12" s="170"/>
      <c r="EU12" s="170"/>
      <c r="EV12" s="170"/>
      <c r="EW12" s="170"/>
      <c r="EX12" s="170"/>
      <c r="EY12" s="170"/>
      <c r="EZ12" s="170"/>
      <c r="FA12" s="170"/>
      <c r="FB12" s="170"/>
      <c r="FC12" s="170"/>
      <c r="FD12" s="170"/>
      <c r="FE12" s="170"/>
      <c r="FF12" s="170"/>
      <c r="FG12" s="170"/>
      <c r="FH12" s="170"/>
      <c r="FI12" s="170"/>
      <c r="FJ12" s="170"/>
      <c r="FK12" s="170"/>
      <c r="FL12" s="170"/>
      <c r="FM12" s="170"/>
      <c r="FN12" s="170"/>
      <c r="FO12" s="170"/>
      <c r="FP12" s="170"/>
      <c r="FQ12" s="170"/>
      <c r="FR12" s="170"/>
      <c r="FS12" s="170"/>
      <c r="FT12" s="170"/>
      <c r="FU12" s="170"/>
      <c r="FV12" s="170"/>
      <c r="FW12" s="170"/>
      <c r="FX12" s="170"/>
      <c r="FY12" s="170"/>
      <c r="FZ12" s="170"/>
      <c r="GA12" s="170"/>
      <c r="GB12" s="170"/>
      <c r="GC12" s="170"/>
      <c r="GD12" s="170"/>
      <c r="GE12" s="170"/>
      <c r="GF12" s="170"/>
      <c r="GG12" s="170"/>
      <c r="GH12" s="170"/>
      <c r="GI12" s="170"/>
      <c r="GJ12" s="170"/>
      <c r="GK12" s="170"/>
      <c r="GL12" s="170"/>
      <c r="GM12" s="170"/>
      <c r="GN12" s="170"/>
      <c r="GO12" s="170"/>
      <c r="GP12" s="170"/>
      <c r="GQ12" s="170"/>
      <c r="GR12" s="170"/>
      <c r="GS12" s="170"/>
      <c r="GT12" s="170"/>
      <c r="GU12" s="170"/>
      <c r="GV12" s="170"/>
      <c r="GW12" s="170"/>
      <c r="GX12" s="170"/>
      <c r="GY12" s="170"/>
      <c r="GZ12" s="170"/>
      <c r="HA12" s="170"/>
      <c r="HB12" s="170"/>
      <c r="HC12" s="170"/>
      <c r="HD12" s="170"/>
      <c r="HE12" s="170"/>
      <c r="HF12" s="170"/>
      <c r="HG12" s="170"/>
      <c r="HH12" s="170"/>
      <c r="HI12" s="170"/>
      <c r="HJ12" s="170"/>
      <c r="HK12" s="170"/>
      <c r="HL12" s="170"/>
      <c r="HM12" s="170"/>
      <c r="HN12" s="170"/>
      <c r="HO12" s="170"/>
      <c r="HP12" s="170"/>
      <c r="HQ12" s="170"/>
      <c r="HR12" s="170"/>
      <c r="HS12" s="170"/>
      <c r="HT12" s="170"/>
      <c r="HU12" s="170"/>
      <c r="HV12" s="170"/>
      <c r="HW12" s="170"/>
      <c r="HX12" s="170"/>
      <c r="HY12" s="170"/>
      <c r="HZ12" s="170"/>
      <c r="IA12" s="170"/>
      <c r="IB12" s="170"/>
      <c r="IC12" s="170"/>
      <c r="ID12" s="170"/>
      <c r="IE12" s="170"/>
      <c r="IF12" s="170"/>
      <c r="IG12" s="170"/>
      <c r="IH12" s="170"/>
      <c r="II12" s="170"/>
      <c r="IJ12" s="170"/>
      <c r="IK12" s="170"/>
      <c r="IL12" s="170"/>
      <c r="IM12" s="170"/>
      <c r="IN12" s="170"/>
      <c r="IO12" s="170"/>
      <c r="IP12" s="170"/>
      <c r="IQ12" s="170"/>
      <c r="IR12" s="170"/>
      <c r="IS12" s="170"/>
      <c r="IT12" s="170"/>
      <c r="IU12" s="170"/>
    </row>
    <row r="13" spans="1:255" ht="14.15" customHeight="1" x14ac:dyDescent="0.2">
      <c r="A13" s="203" t="s">
        <v>225</v>
      </c>
      <c r="B13" s="204"/>
      <c r="C13" s="205"/>
      <c r="D13" s="206">
        <v>16.446196024674435</v>
      </c>
      <c r="E13" s="207">
        <v>14397</v>
      </c>
      <c r="F13" s="208">
        <v>14093</v>
      </c>
      <c r="G13" s="208">
        <v>14124</v>
      </c>
      <c r="H13" s="208">
        <v>14335</v>
      </c>
      <c r="I13" s="209">
        <v>14209</v>
      </c>
      <c r="J13" s="207">
        <v>188</v>
      </c>
      <c r="K13" s="210">
        <v>1.3231050742487156</v>
      </c>
    </row>
    <row r="14" spans="1:255" ht="14.15" customHeight="1" x14ac:dyDescent="0.2">
      <c r="A14" s="203" t="s">
        <v>226</v>
      </c>
      <c r="B14" s="204"/>
      <c r="C14" s="205"/>
      <c r="D14" s="206">
        <v>61.545579163810828</v>
      </c>
      <c r="E14" s="207">
        <v>53877</v>
      </c>
      <c r="F14" s="208">
        <v>53970</v>
      </c>
      <c r="G14" s="208">
        <v>54801</v>
      </c>
      <c r="H14" s="208">
        <v>55562</v>
      </c>
      <c r="I14" s="209">
        <v>54810</v>
      </c>
      <c r="J14" s="207">
        <v>-933</v>
      </c>
      <c r="K14" s="210">
        <v>-1.7022441160372195</v>
      </c>
    </row>
    <row r="15" spans="1:255" ht="14.15" customHeight="1" x14ac:dyDescent="0.2">
      <c r="A15" s="203" t="s">
        <v>227</v>
      </c>
      <c r="B15" s="204"/>
      <c r="C15" s="205"/>
      <c r="D15" s="206">
        <v>10.877313228238519</v>
      </c>
      <c r="E15" s="207">
        <v>9522</v>
      </c>
      <c r="F15" s="208">
        <v>9494</v>
      </c>
      <c r="G15" s="208">
        <v>9488</v>
      </c>
      <c r="H15" s="208">
        <v>9506</v>
      </c>
      <c r="I15" s="209">
        <v>9421</v>
      </c>
      <c r="J15" s="207">
        <v>101</v>
      </c>
      <c r="K15" s="210">
        <v>1.0720730283409405</v>
      </c>
    </row>
    <row r="16" spans="1:255" ht="14.15" customHeight="1" x14ac:dyDescent="0.2">
      <c r="A16" s="203" t="s">
        <v>228</v>
      </c>
      <c r="B16" s="204"/>
      <c r="C16" s="205"/>
      <c r="D16" s="206">
        <v>10.23532099611606</v>
      </c>
      <c r="E16" s="207">
        <v>8960</v>
      </c>
      <c r="F16" s="208">
        <v>9012</v>
      </c>
      <c r="G16" s="208">
        <v>9130</v>
      </c>
      <c r="H16" s="208">
        <v>9102</v>
      </c>
      <c r="I16" s="209">
        <v>9040</v>
      </c>
      <c r="J16" s="207">
        <v>-80</v>
      </c>
      <c r="K16" s="210">
        <v>-0.88495575221238942</v>
      </c>
    </row>
    <row r="17" spans="1:255" s="140" customFormat="1" ht="18" customHeight="1" x14ac:dyDescent="0.2">
      <c r="A17" s="211" t="s">
        <v>229</v>
      </c>
      <c r="B17" s="212"/>
      <c r="C17" s="212"/>
      <c r="D17" s="212"/>
      <c r="E17" s="213"/>
      <c r="F17" s="213"/>
      <c r="G17" s="213"/>
      <c r="H17" s="213"/>
      <c r="I17" s="213"/>
      <c r="J17" s="213"/>
      <c r="K17" s="213"/>
      <c r="L17" s="170"/>
      <c r="M17" s="170"/>
      <c r="N17" s="170"/>
      <c r="O17" s="170"/>
      <c r="P17" s="170"/>
      <c r="Q17" s="170"/>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0"/>
      <c r="BD17" s="170"/>
      <c r="BE17" s="170"/>
      <c r="BF17" s="170"/>
      <c r="BG17" s="170"/>
      <c r="BH17" s="170"/>
      <c r="BI17" s="170"/>
      <c r="BJ17" s="170"/>
      <c r="BK17" s="170"/>
      <c r="BL17" s="170"/>
      <c r="BM17" s="170"/>
      <c r="BN17" s="170"/>
      <c r="BO17" s="170"/>
      <c r="BP17" s="170"/>
      <c r="BQ17" s="170"/>
      <c r="BR17" s="170"/>
      <c r="BS17" s="170"/>
      <c r="BT17" s="170"/>
      <c r="BU17" s="170"/>
      <c r="BV17" s="170"/>
      <c r="BW17" s="170"/>
      <c r="BX17" s="170"/>
      <c r="BY17" s="170"/>
      <c r="BZ17" s="170"/>
      <c r="CA17" s="170"/>
      <c r="CB17" s="170"/>
      <c r="CC17" s="170"/>
      <c r="CD17" s="170"/>
      <c r="CE17" s="170"/>
      <c r="CF17" s="170"/>
      <c r="CG17" s="170"/>
      <c r="CH17" s="170"/>
      <c r="CI17" s="170"/>
      <c r="CJ17" s="170"/>
      <c r="CK17" s="170"/>
      <c r="CL17" s="170"/>
      <c r="CM17" s="170"/>
      <c r="CN17" s="170"/>
      <c r="CO17" s="170"/>
      <c r="CP17" s="170"/>
      <c r="CQ17" s="170"/>
      <c r="CR17" s="170"/>
      <c r="CS17" s="170"/>
      <c r="CT17" s="170"/>
      <c r="CU17" s="170"/>
      <c r="CV17" s="170"/>
      <c r="CW17" s="170"/>
      <c r="CX17" s="170"/>
      <c r="CY17" s="170"/>
      <c r="CZ17" s="170"/>
      <c r="DA17" s="170"/>
      <c r="DB17" s="170"/>
      <c r="DC17" s="170"/>
      <c r="DD17" s="170"/>
      <c r="DE17" s="170"/>
      <c r="DF17" s="170"/>
      <c r="DG17" s="170"/>
      <c r="DH17" s="170"/>
      <c r="DI17" s="170"/>
      <c r="DJ17" s="170"/>
      <c r="DK17" s="170"/>
      <c r="DL17" s="170"/>
      <c r="DM17" s="170"/>
      <c r="DN17" s="170"/>
      <c r="DO17" s="170"/>
      <c r="DP17" s="170"/>
      <c r="DQ17" s="170"/>
      <c r="DR17" s="170"/>
      <c r="DS17" s="170"/>
      <c r="DT17" s="170"/>
      <c r="DU17" s="170"/>
      <c r="DV17" s="170"/>
      <c r="DW17" s="170"/>
      <c r="DX17" s="170"/>
      <c r="DY17" s="170"/>
      <c r="DZ17" s="170"/>
      <c r="EA17" s="170"/>
      <c r="EB17" s="170"/>
      <c r="EC17" s="170"/>
      <c r="ED17" s="170"/>
      <c r="EE17" s="170"/>
      <c r="EF17" s="170"/>
      <c r="EG17" s="170"/>
      <c r="EH17" s="170"/>
      <c r="EI17" s="170"/>
      <c r="EJ17" s="170"/>
      <c r="EK17" s="170"/>
      <c r="EL17" s="170"/>
      <c r="EM17" s="170"/>
      <c r="EN17" s="170"/>
      <c r="EO17" s="170"/>
      <c r="EP17" s="170"/>
      <c r="EQ17" s="170"/>
      <c r="ER17" s="170"/>
      <c r="ES17" s="170"/>
      <c r="ET17" s="170"/>
      <c r="EU17" s="170"/>
      <c r="EV17" s="170"/>
      <c r="EW17" s="170"/>
      <c r="EX17" s="170"/>
      <c r="EY17" s="170"/>
      <c r="EZ17" s="170"/>
      <c r="FA17" s="170"/>
      <c r="FB17" s="170"/>
      <c r="FC17" s="170"/>
      <c r="FD17" s="170"/>
      <c r="FE17" s="170"/>
      <c r="FF17" s="170"/>
      <c r="FG17" s="170"/>
      <c r="FH17" s="170"/>
      <c r="FI17" s="170"/>
      <c r="FJ17" s="170"/>
      <c r="FK17" s="170"/>
      <c r="FL17" s="170"/>
      <c r="FM17" s="170"/>
      <c r="FN17" s="170"/>
      <c r="FO17" s="170"/>
      <c r="FP17" s="170"/>
      <c r="FQ17" s="170"/>
      <c r="FR17" s="170"/>
      <c r="FS17" s="170"/>
      <c r="FT17" s="170"/>
      <c r="FU17" s="170"/>
      <c r="FV17" s="170"/>
      <c r="FW17" s="170"/>
      <c r="FX17" s="170"/>
      <c r="FY17" s="170"/>
      <c r="FZ17" s="170"/>
      <c r="GA17" s="170"/>
      <c r="GB17" s="170"/>
      <c r="GC17" s="170"/>
      <c r="GD17" s="170"/>
      <c r="GE17" s="170"/>
      <c r="GF17" s="170"/>
      <c r="GG17" s="170"/>
      <c r="GH17" s="170"/>
      <c r="GI17" s="170"/>
      <c r="GJ17" s="170"/>
      <c r="GK17" s="170"/>
      <c r="GL17" s="170"/>
      <c r="GM17" s="170"/>
      <c r="GN17" s="170"/>
      <c r="GO17" s="170"/>
      <c r="GP17" s="170"/>
      <c r="GQ17" s="170"/>
      <c r="GR17" s="170"/>
      <c r="GS17" s="170"/>
      <c r="GT17" s="170"/>
      <c r="GU17" s="170"/>
      <c r="GV17" s="170"/>
      <c r="GW17" s="170"/>
      <c r="GX17" s="170"/>
      <c r="GY17" s="170"/>
      <c r="GZ17" s="170"/>
      <c r="HA17" s="170"/>
      <c r="HB17" s="170"/>
      <c r="HC17" s="170"/>
      <c r="HD17" s="170"/>
      <c r="HE17" s="170"/>
      <c r="HF17" s="170"/>
      <c r="HG17" s="170"/>
      <c r="HH17" s="170"/>
      <c r="HI17" s="170"/>
      <c r="HJ17" s="170"/>
      <c r="HK17" s="170"/>
      <c r="HL17" s="170"/>
      <c r="HM17" s="170"/>
      <c r="HN17" s="170"/>
      <c r="HO17" s="170"/>
      <c r="HP17" s="170"/>
      <c r="HQ17" s="170"/>
      <c r="HR17" s="170"/>
      <c r="HS17" s="170"/>
      <c r="HT17" s="170"/>
      <c r="HU17" s="170"/>
      <c r="HV17" s="170"/>
      <c r="HW17" s="170"/>
      <c r="HX17" s="170"/>
      <c r="HY17" s="170"/>
      <c r="HZ17" s="170"/>
      <c r="IA17" s="170"/>
      <c r="IB17" s="170"/>
      <c r="IC17" s="170"/>
      <c r="ID17" s="170"/>
      <c r="IE17" s="170"/>
      <c r="IF17" s="170"/>
      <c r="IG17" s="170"/>
      <c r="IH17" s="170"/>
      <c r="II17" s="170"/>
      <c r="IJ17" s="170"/>
      <c r="IK17" s="170"/>
      <c r="IL17" s="170"/>
      <c r="IM17" s="170"/>
      <c r="IN17" s="170"/>
      <c r="IO17" s="170"/>
      <c r="IP17" s="170"/>
      <c r="IQ17" s="170"/>
      <c r="IR17" s="170"/>
      <c r="IS17" s="170"/>
      <c r="IT17" s="170"/>
      <c r="IU17" s="170"/>
    </row>
    <row r="18" spans="1:255" ht="14.15" customHeight="1" x14ac:dyDescent="0.2">
      <c r="A18" s="203" t="s">
        <v>230</v>
      </c>
      <c r="B18" s="204"/>
      <c r="C18" s="205"/>
      <c r="D18" s="206">
        <v>6.3399588759424264</v>
      </c>
      <c r="E18" s="208">
        <v>5550</v>
      </c>
      <c r="F18" s="208">
        <v>5470</v>
      </c>
      <c r="G18" s="208">
        <v>5633</v>
      </c>
      <c r="H18" s="208">
        <v>5817</v>
      </c>
      <c r="I18" s="208">
        <v>5713</v>
      </c>
      <c r="J18" s="207">
        <v>-163</v>
      </c>
      <c r="K18" s="210">
        <v>-2.8531419569403114</v>
      </c>
    </row>
    <row r="19" spans="1:255" ht="14.15" customHeight="1" x14ac:dyDescent="0.2">
      <c r="A19" s="203" t="s">
        <v>231</v>
      </c>
      <c r="B19" s="204"/>
      <c r="C19" s="205"/>
      <c r="D19" s="206">
        <v>16.028101439342016</v>
      </c>
      <c r="E19" s="208">
        <v>14031</v>
      </c>
      <c r="F19" s="208">
        <v>13949</v>
      </c>
      <c r="G19" s="208">
        <v>14208</v>
      </c>
      <c r="H19" s="208">
        <v>14439</v>
      </c>
      <c r="I19" s="208">
        <v>14244</v>
      </c>
      <c r="J19" s="207">
        <v>-213</v>
      </c>
      <c r="K19" s="210">
        <v>-1.4953664700926705</v>
      </c>
    </row>
    <row r="20" spans="1:255" ht="14.15" customHeight="1" x14ac:dyDescent="0.2">
      <c r="A20" s="203" t="s">
        <v>232</v>
      </c>
      <c r="B20" s="204"/>
      <c r="C20" s="205"/>
      <c r="D20" s="206">
        <v>1.6552433173406442</v>
      </c>
      <c r="E20" s="208">
        <v>1449</v>
      </c>
      <c r="F20" s="208">
        <v>1442</v>
      </c>
      <c r="G20" s="208">
        <v>1461</v>
      </c>
      <c r="H20" s="208">
        <v>1459</v>
      </c>
      <c r="I20" s="208">
        <v>1444</v>
      </c>
      <c r="J20" s="207">
        <v>5</v>
      </c>
      <c r="K20" s="210">
        <v>0.34626038781163437</v>
      </c>
    </row>
    <row r="21" spans="1:255" ht="14.15" customHeight="1" x14ac:dyDescent="0.2">
      <c r="A21" s="203" t="s">
        <v>233</v>
      </c>
      <c r="B21" s="204"/>
      <c r="C21" s="205"/>
      <c r="D21" s="206">
        <v>19.944025588302491</v>
      </c>
      <c r="E21" s="208">
        <v>17459</v>
      </c>
      <c r="F21" s="208">
        <v>17466</v>
      </c>
      <c r="G21" s="208">
        <v>17709</v>
      </c>
      <c r="H21" s="208">
        <v>17888</v>
      </c>
      <c r="I21" s="208">
        <v>17662</v>
      </c>
      <c r="J21" s="207">
        <v>-203</v>
      </c>
      <c r="K21" s="210">
        <v>-1.1493602083569245</v>
      </c>
    </row>
    <row r="22" spans="1:255" ht="14.15" customHeight="1" x14ac:dyDescent="0.2">
      <c r="A22" s="203" t="s">
        <v>234</v>
      </c>
      <c r="B22" s="204"/>
      <c r="C22" s="205"/>
      <c r="D22" s="206">
        <v>9.0370116518163126</v>
      </c>
      <c r="E22" s="208">
        <v>7911</v>
      </c>
      <c r="F22" s="208">
        <v>7926</v>
      </c>
      <c r="G22" s="208">
        <v>7989</v>
      </c>
      <c r="H22" s="208">
        <v>7998</v>
      </c>
      <c r="I22" s="208">
        <v>7890</v>
      </c>
      <c r="J22" s="207">
        <v>21</v>
      </c>
      <c r="K22" s="210">
        <v>0.26615969581749049</v>
      </c>
    </row>
    <row r="23" spans="1:255" ht="18" customHeight="1" x14ac:dyDescent="0.2">
      <c r="A23" s="199" t="s">
        <v>235</v>
      </c>
      <c r="B23" s="200"/>
      <c r="C23" s="200"/>
      <c r="D23" s="201"/>
      <c r="E23" s="214"/>
      <c r="F23" s="214"/>
      <c r="G23" s="214"/>
      <c r="H23" s="214"/>
      <c r="I23" s="214"/>
      <c r="J23" s="201"/>
      <c r="K23" s="202"/>
    </row>
    <row r="24" spans="1:255" ht="13.5" customHeight="1" x14ac:dyDescent="0.2">
      <c r="A24" s="203">
        <v>11</v>
      </c>
      <c r="B24" s="204" t="s">
        <v>236</v>
      </c>
      <c r="C24" s="205"/>
      <c r="D24" s="206">
        <v>1.6118345899017592</v>
      </c>
      <c r="E24" s="207">
        <v>1411</v>
      </c>
      <c r="F24" s="208">
        <v>1399</v>
      </c>
      <c r="G24" s="208">
        <v>1404</v>
      </c>
      <c r="H24" s="208">
        <v>1456</v>
      </c>
      <c r="I24" s="209">
        <v>1414</v>
      </c>
      <c r="J24" s="207">
        <v>-3</v>
      </c>
      <c r="K24" s="210">
        <v>-0.21216407355021216</v>
      </c>
    </row>
    <row r="25" spans="1:255" ht="13.5" customHeight="1" x14ac:dyDescent="0.2">
      <c r="A25" s="203" t="s">
        <v>237</v>
      </c>
      <c r="B25" s="204" t="s">
        <v>238</v>
      </c>
      <c r="C25" s="205"/>
      <c r="D25" s="206">
        <v>0.84304318026045233</v>
      </c>
      <c r="E25" s="207">
        <v>738</v>
      </c>
      <c r="F25" s="208">
        <v>718</v>
      </c>
      <c r="G25" s="208">
        <v>708</v>
      </c>
      <c r="H25" s="208">
        <v>750</v>
      </c>
      <c r="I25" s="209">
        <v>732</v>
      </c>
      <c r="J25" s="207">
        <v>6</v>
      </c>
      <c r="K25" s="210">
        <v>0.81967213114754101</v>
      </c>
    </row>
    <row r="26" spans="1:255" ht="13.5" customHeight="1" x14ac:dyDescent="0.2">
      <c r="A26" s="203">
        <v>12</v>
      </c>
      <c r="B26" s="204" t="s">
        <v>239</v>
      </c>
      <c r="C26" s="205"/>
      <c r="D26" s="206">
        <v>0.73566369659584185</v>
      </c>
      <c r="E26" s="207">
        <v>644</v>
      </c>
      <c r="F26" s="208">
        <v>606</v>
      </c>
      <c r="G26" s="208">
        <v>592</v>
      </c>
      <c r="H26" s="208">
        <v>657</v>
      </c>
      <c r="I26" s="209">
        <v>660</v>
      </c>
      <c r="J26" s="207">
        <v>-16</v>
      </c>
      <c r="K26" s="210">
        <v>-2.4242424242424243</v>
      </c>
    </row>
    <row r="27" spans="1:255" ht="13.5" customHeight="1" x14ac:dyDescent="0.2">
      <c r="A27" s="203">
        <v>21</v>
      </c>
      <c r="B27" s="204" t="s">
        <v>240</v>
      </c>
      <c r="C27" s="205"/>
      <c r="D27" s="206">
        <v>1.2988348183687457</v>
      </c>
      <c r="E27" s="207">
        <v>1137</v>
      </c>
      <c r="F27" s="208">
        <v>1137</v>
      </c>
      <c r="G27" s="208">
        <v>1135</v>
      </c>
      <c r="H27" s="208">
        <v>1154</v>
      </c>
      <c r="I27" s="209">
        <v>1133</v>
      </c>
      <c r="J27" s="207">
        <v>4</v>
      </c>
      <c r="K27" s="210">
        <v>0.35304501323918802</v>
      </c>
    </row>
    <row r="28" spans="1:255" ht="13.5" customHeight="1" x14ac:dyDescent="0.2">
      <c r="A28" s="203">
        <v>22</v>
      </c>
      <c r="B28" s="204" t="s">
        <v>241</v>
      </c>
      <c r="C28" s="205"/>
      <c r="D28" s="206">
        <v>2.2743888508110577</v>
      </c>
      <c r="E28" s="207">
        <v>1991</v>
      </c>
      <c r="F28" s="208">
        <v>1994</v>
      </c>
      <c r="G28" s="208">
        <v>2011</v>
      </c>
      <c r="H28" s="208">
        <v>2047</v>
      </c>
      <c r="I28" s="209">
        <v>2051</v>
      </c>
      <c r="J28" s="207">
        <v>-60</v>
      </c>
      <c r="K28" s="210">
        <v>-2.9254022428083863</v>
      </c>
    </row>
    <row r="29" spans="1:255" ht="13.5" customHeight="1" x14ac:dyDescent="0.2">
      <c r="A29" s="203">
        <v>23</v>
      </c>
      <c r="B29" s="204" t="s">
        <v>242</v>
      </c>
      <c r="C29" s="205"/>
      <c r="D29" s="206">
        <v>0.37811286269134109</v>
      </c>
      <c r="E29" s="207">
        <v>331</v>
      </c>
      <c r="F29" s="208">
        <v>340</v>
      </c>
      <c r="G29" s="208">
        <v>340</v>
      </c>
      <c r="H29" s="208">
        <v>345</v>
      </c>
      <c r="I29" s="209">
        <v>339</v>
      </c>
      <c r="J29" s="207">
        <v>-8</v>
      </c>
      <c r="K29" s="210">
        <v>-2.359882005899705</v>
      </c>
    </row>
    <row r="30" spans="1:255" ht="13.5" customHeight="1" x14ac:dyDescent="0.2">
      <c r="A30" s="203">
        <v>24</v>
      </c>
      <c r="B30" s="204" t="s">
        <v>243</v>
      </c>
      <c r="C30" s="205"/>
      <c r="D30" s="206">
        <v>4.3877084761251997</v>
      </c>
      <c r="E30" s="207">
        <v>3841</v>
      </c>
      <c r="F30" s="208">
        <v>3858</v>
      </c>
      <c r="G30" s="208">
        <v>3890</v>
      </c>
      <c r="H30" s="208">
        <v>3956</v>
      </c>
      <c r="I30" s="209">
        <v>3895</v>
      </c>
      <c r="J30" s="207">
        <v>-54</v>
      </c>
      <c r="K30" s="210">
        <v>-1.386392811296534</v>
      </c>
    </row>
    <row r="31" spans="1:255" ht="13.5" customHeight="1" x14ac:dyDescent="0.2">
      <c r="A31" s="203">
        <v>25</v>
      </c>
      <c r="B31" s="204" t="s">
        <v>244</v>
      </c>
      <c r="C31" s="205"/>
      <c r="D31" s="206">
        <v>4.0998400731094353</v>
      </c>
      <c r="E31" s="207">
        <v>3589</v>
      </c>
      <c r="F31" s="208">
        <v>3598</v>
      </c>
      <c r="G31" s="208">
        <v>3651</v>
      </c>
      <c r="H31" s="208">
        <v>3689</v>
      </c>
      <c r="I31" s="209">
        <v>3570</v>
      </c>
      <c r="J31" s="207">
        <v>19</v>
      </c>
      <c r="K31" s="210">
        <v>0.53221288515406162</v>
      </c>
    </row>
    <row r="32" spans="1:255" ht="13.5" customHeight="1" x14ac:dyDescent="0.2">
      <c r="A32" s="203">
        <v>26</v>
      </c>
      <c r="B32" s="204" t="s">
        <v>245</v>
      </c>
      <c r="C32" s="205"/>
      <c r="D32" s="206">
        <v>3.431574137537126</v>
      </c>
      <c r="E32" s="207">
        <v>3004</v>
      </c>
      <c r="F32" s="208">
        <v>3001</v>
      </c>
      <c r="G32" s="208">
        <v>3068</v>
      </c>
      <c r="H32" s="208">
        <v>3115</v>
      </c>
      <c r="I32" s="209">
        <v>3095</v>
      </c>
      <c r="J32" s="207">
        <v>-91</v>
      </c>
      <c r="K32" s="210">
        <v>-2.9402261712439417</v>
      </c>
    </row>
    <row r="33" spans="1:11" ht="13.5" customHeight="1" x14ac:dyDescent="0.2">
      <c r="A33" s="203">
        <v>27</v>
      </c>
      <c r="B33" s="204" t="s">
        <v>246</v>
      </c>
      <c r="C33" s="205"/>
      <c r="D33" s="206">
        <v>2.2389764679003883</v>
      </c>
      <c r="E33" s="207">
        <v>1960</v>
      </c>
      <c r="F33" s="208">
        <v>1981</v>
      </c>
      <c r="G33" s="208">
        <v>2004</v>
      </c>
      <c r="H33" s="208">
        <v>2010</v>
      </c>
      <c r="I33" s="209">
        <v>2011</v>
      </c>
      <c r="J33" s="207">
        <v>-51</v>
      </c>
      <c r="K33" s="210">
        <v>-2.5360517155643958</v>
      </c>
    </row>
    <row r="34" spans="1:11" ht="13.5" customHeight="1" x14ac:dyDescent="0.2">
      <c r="A34" s="203">
        <v>28</v>
      </c>
      <c r="B34" s="204" t="s">
        <v>247</v>
      </c>
      <c r="C34" s="205"/>
      <c r="D34" s="206">
        <v>3.4304318026045237</v>
      </c>
      <c r="E34" s="207">
        <v>3003</v>
      </c>
      <c r="F34" s="208">
        <v>2990</v>
      </c>
      <c r="G34" s="208">
        <v>3034</v>
      </c>
      <c r="H34" s="208">
        <v>3059</v>
      </c>
      <c r="I34" s="209">
        <v>3059</v>
      </c>
      <c r="J34" s="207">
        <v>-56</v>
      </c>
      <c r="K34" s="210">
        <v>-1.8306636155606408</v>
      </c>
    </row>
    <row r="35" spans="1:11" ht="13.5" customHeight="1" x14ac:dyDescent="0.2">
      <c r="A35" s="203">
        <v>29</v>
      </c>
      <c r="B35" s="204" t="s">
        <v>248</v>
      </c>
      <c r="C35" s="205"/>
      <c r="D35" s="206">
        <v>3.504683573223669</v>
      </c>
      <c r="E35" s="207">
        <v>3068</v>
      </c>
      <c r="F35" s="208">
        <v>3024</v>
      </c>
      <c r="G35" s="208">
        <v>2893</v>
      </c>
      <c r="H35" s="208">
        <v>2976</v>
      </c>
      <c r="I35" s="209">
        <v>2959</v>
      </c>
      <c r="J35" s="207">
        <v>109</v>
      </c>
      <c r="K35" s="210">
        <v>3.6836769178776612</v>
      </c>
    </row>
    <row r="36" spans="1:11" ht="13.5" customHeight="1" x14ac:dyDescent="0.2">
      <c r="A36" s="203" t="s">
        <v>249</v>
      </c>
      <c r="B36" s="204" t="s">
        <v>250</v>
      </c>
      <c r="C36" s="205"/>
      <c r="D36" s="206">
        <v>1.6049805803061457</v>
      </c>
      <c r="E36" s="207">
        <v>1405</v>
      </c>
      <c r="F36" s="208">
        <v>1394</v>
      </c>
      <c r="G36" s="208">
        <v>1246</v>
      </c>
      <c r="H36" s="208">
        <v>1300</v>
      </c>
      <c r="I36" s="209">
        <v>1302</v>
      </c>
      <c r="J36" s="207">
        <v>103</v>
      </c>
      <c r="K36" s="210">
        <v>7.9109062980030718</v>
      </c>
    </row>
    <row r="37" spans="1:11" ht="13.5" customHeight="1" x14ac:dyDescent="0.2">
      <c r="A37" s="203" t="s">
        <v>251</v>
      </c>
      <c r="B37" s="204" t="s">
        <v>252</v>
      </c>
      <c r="C37" s="205"/>
      <c r="D37" s="206">
        <v>1.8197395476353666</v>
      </c>
      <c r="E37" s="207">
        <v>1593</v>
      </c>
      <c r="F37" s="208">
        <v>1558</v>
      </c>
      <c r="G37" s="208">
        <v>1576</v>
      </c>
      <c r="H37" s="208">
        <v>1602</v>
      </c>
      <c r="I37" s="209">
        <v>1583</v>
      </c>
      <c r="J37" s="207">
        <v>10</v>
      </c>
      <c r="K37" s="210">
        <v>0.63171193935565384</v>
      </c>
    </row>
    <row r="38" spans="1:11" ht="13.5" customHeight="1" x14ac:dyDescent="0.2">
      <c r="A38" s="203">
        <v>31</v>
      </c>
      <c r="B38" s="204" t="s">
        <v>253</v>
      </c>
      <c r="C38" s="205"/>
      <c r="D38" s="206">
        <v>0.58601782042494854</v>
      </c>
      <c r="E38" s="207">
        <v>513</v>
      </c>
      <c r="F38" s="208">
        <v>507</v>
      </c>
      <c r="G38" s="208">
        <v>518</v>
      </c>
      <c r="H38" s="208">
        <v>514</v>
      </c>
      <c r="I38" s="209">
        <v>497</v>
      </c>
      <c r="J38" s="207">
        <v>16</v>
      </c>
      <c r="K38" s="210">
        <v>3.2193158953722336</v>
      </c>
    </row>
    <row r="39" spans="1:11" ht="13.5" customHeight="1" x14ac:dyDescent="0.2">
      <c r="A39" s="203">
        <v>32</v>
      </c>
      <c r="B39" s="204" t="s">
        <v>254</v>
      </c>
      <c r="C39" s="205"/>
      <c r="D39" s="206">
        <v>2.6342243545807631</v>
      </c>
      <c r="E39" s="207">
        <v>2306</v>
      </c>
      <c r="F39" s="208">
        <v>2275</v>
      </c>
      <c r="G39" s="208">
        <v>2337</v>
      </c>
      <c r="H39" s="208">
        <v>2433</v>
      </c>
      <c r="I39" s="209">
        <v>2379</v>
      </c>
      <c r="J39" s="207">
        <v>-73</v>
      </c>
      <c r="K39" s="210">
        <v>-3.0685161832702814</v>
      </c>
    </row>
    <row r="40" spans="1:11" ht="13.5" customHeight="1" x14ac:dyDescent="0.2">
      <c r="A40" s="203">
        <v>33</v>
      </c>
      <c r="B40" s="204" t="s">
        <v>255</v>
      </c>
      <c r="C40" s="205"/>
      <c r="D40" s="206">
        <v>1.1743203107151017</v>
      </c>
      <c r="E40" s="207">
        <v>1028</v>
      </c>
      <c r="F40" s="208">
        <v>1005</v>
      </c>
      <c r="G40" s="208">
        <v>1042</v>
      </c>
      <c r="H40" s="208">
        <v>1095</v>
      </c>
      <c r="I40" s="209">
        <v>1067</v>
      </c>
      <c r="J40" s="207">
        <v>-39</v>
      </c>
      <c r="K40" s="210">
        <v>-3.6551077788191191</v>
      </c>
    </row>
    <row r="41" spans="1:11" ht="13.5" customHeight="1" x14ac:dyDescent="0.2">
      <c r="A41" s="203">
        <v>34</v>
      </c>
      <c r="B41" s="204" t="s">
        <v>256</v>
      </c>
      <c r="C41" s="205"/>
      <c r="D41" s="206">
        <v>3.0934429974868634</v>
      </c>
      <c r="E41" s="207">
        <v>2708</v>
      </c>
      <c r="F41" s="208">
        <v>2662</v>
      </c>
      <c r="G41" s="208">
        <v>2690</v>
      </c>
      <c r="H41" s="208">
        <v>2724</v>
      </c>
      <c r="I41" s="209">
        <v>2719</v>
      </c>
      <c r="J41" s="207">
        <v>-11</v>
      </c>
      <c r="K41" s="210">
        <v>-0.40456050018389111</v>
      </c>
    </row>
    <row r="42" spans="1:11" ht="13.5" customHeight="1" x14ac:dyDescent="0.2">
      <c r="A42" s="203">
        <v>41</v>
      </c>
      <c r="B42" s="204" t="s">
        <v>257</v>
      </c>
      <c r="C42" s="205"/>
      <c r="D42" s="206">
        <v>0.75622572538268218</v>
      </c>
      <c r="E42" s="207">
        <v>662</v>
      </c>
      <c r="F42" s="208">
        <v>668</v>
      </c>
      <c r="G42" s="208">
        <v>683</v>
      </c>
      <c r="H42" s="208">
        <v>699</v>
      </c>
      <c r="I42" s="209">
        <v>681</v>
      </c>
      <c r="J42" s="207">
        <v>-19</v>
      </c>
      <c r="K42" s="210">
        <v>-2.790014684287812</v>
      </c>
    </row>
    <row r="43" spans="1:11" ht="13.5" customHeight="1" x14ac:dyDescent="0.2">
      <c r="A43" s="203">
        <v>42</v>
      </c>
      <c r="B43" s="204" t="s">
        <v>258</v>
      </c>
      <c r="C43" s="205"/>
      <c r="D43" s="206">
        <v>9.9383139136394794E-2</v>
      </c>
      <c r="E43" s="430">
        <v>87</v>
      </c>
      <c r="F43" s="431">
        <v>94</v>
      </c>
      <c r="G43" s="431">
        <v>97</v>
      </c>
      <c r="H43" s="431">
        <v>93</v>
      </c>
      <c r="I43" s="432">
        <v>85</v>
      </c>
      <c r="J43" s="207">
        <v>2</v>
      </c>
      <c r="K43" s="210">
        <v>2.3529411764705883</v>
      </c>
    </row>
    <row r="44" spans="1:11" ht="13.5" customHeight="1" x14ac:dyDescent="0.2">
      <c r="A44" s="203">
        <v>43</v>
      </c>
      <c r="B44" s="204" t="s">
        <v>259</v>
      </c>
      <c r="C44" s="205"/>
      <c r="D44" s="206">
        <v>1.0029700708247657</v>
      </c>
      <c r="E44" s="207">
        <v>878</v>
      </c>
      <c r="F44" s="208">
        <v>881</v>
      </c>
      <c r="G44" s="208">
        <v>903</v>
      </c>
      <c r="H44" s="208">
        <v>897</v>
      </c>
      <c r="I44" s="209">
        <v>875</v>
      </c>
      <c r="J44" s="207">
        <v>3</v>
      </c>
      <c r="K44" s="210">
        <v>0.34285714285714286</v>
      </c>
    </row>
    <row r="45" spans="1:11" ht="13.5" customHeight="1" x14ac:dyDescent="0.2">
      <c r="A45" s="203">
        <v>51</v>
      </c>
      <c r="B45" s="204" t="s">
        <v>260</v>
      </c>
      <c r="C45" s="205"/>
      <c r="D45" s="206">
        <v>3.6291980808773134</v>
      </c>
      <c r="E45" s="207">
        <v>3177</v>
      </c>
      <c r="F45" s="208">
        <v>3190</v>
      </c>
      <c r="G45" s="208">
        <v>3302</v>
      </c>
      <c r="H45" s="208">
        <v>3309</v>
      </c>
      <c r="I45" s="209">
        <v>3250</v>
      </c>
      <c r="J45" s="207">
        <v>-73</v>
      </c>
      <c r="K45" s="210">
        <v>-2.2461538461538462</v>
      </c>
    </row>
    <row r="46" spans="1:11" ht="13.5" customHeight="1" x14ac:dyDescent="0.2">
      <c r="A46" s="203" t="s">
        <v>261</v>
      </c>
      <c r="B46" s="204" t="s">
        <v>262</v>
      </c>
      <c r="C46" s="205"/>
      <c r="D46" s="206">
        <v>2.7575965273018048</v>
      </c>
      <c r="E46" s="207">
        <v>2414</v>
      </c>
      <c r="F46" s="208">
        <v>2434</v>
      </c>
      <c r="G46" s="208">
        <v>2559</v>
      </c>
      <c r="H46" s="208">
        <v>2552</v>
      </c>
      <c r="I46" s="209">
        <v>2494</v>
      </c>
      <c r="J46" s="207">
        <v>-80</v>
      </c>
      <c r="K46" s="210">
        <v>-3.2076984763432237</v>
      </c>
    </row>
    <row r="47" spans="1:11" ht="13.5" customHeight="1" x14ac:dyDescent="0.2">
      <c r="A47" s="203"/>
      <c r="B47" s="204" t="s">
        <v>263</v>
      </c>
      <c r="C47" s="205"/>
      <c r="D47" s="206">
        <v>2.0402101896275986</v>
      </c>
      <c r="E47" s="207">
        <v>1786</v>
      </c>
      <c r="F47" s="208">
        <v>1768</v>
      </c>
      <c r="G47" s="208">
        <v>1841</v>
      </c>
      <c r="H47" s="208">
        <v>1838</v>
      </c>
      <c r="I47" s="209">
        <v>1814</v>
      </c>
      <c r="J47" s="207">
        <v>-28</v>
      </c>
      <c r="K47" s="210">
        <v>-1.5435501653803749</v>
      </c>
    </row>
    <row r="48" spans="1:11" ht="13.5" customHeight="1" x14ac:dyDescent="0.2">
      <c r="A48" s="203">
        <v>52</v>
      </c>
      <c r="B48" s="204" t="s">
        <v>264</v>
      </c>
      <c r="C48" s="205"/>
      <c r="D48" s="206">
        <v>3.5686543294493944</v>
      </c>
      <c r="E48" s="207">
        <v>3124</v>
      </c>
      <c r="F48" s="208">
        <v>3091</v>
      </c>
      <c r="G48" s="208">
        <v>3116</v>
      </c>
      <c r="H48" s="208">
        <v>3191</v>
      </c>
      <c r="I48" s="209">
        <v>3245</v>
      </c>
      <c r="J48" s="207">
        <v>-121</v>
      </c>
      <c r="K48" s="210">
        <v>-3.7288135593220337</v>
      </c>
    </row>
    <row r="49" spans="1:11" ht="13.5" customHeight="1" x14ac:dyDescent="0.2">
      <c r="A49" s="203" t="s">
        <v>265</v>
      </c>
      <c r="B49" s="204" t="s">
        <v>266</v>
      </c>
      <c r="C49" s="205"/>
      <c r="D49" s="206">
        <v>2.7850125656842586</v>
      </c>
      <c r="E49" s="207">
        <v>2438</v>
      </c>
      <c r="F49" s="208">
        <v>2421</v>
      </c>
      <c r="G49" s="208">
        <v>2440</v>
      </c>
      <c r="H49" s="208">
        <v>2486</v>
      </c>
      <c r="I49" s="209">
        <v>2533</v>
      </c>
      <c r="J49" s="207">
        <v>-95</v>
      </c>
      <c r="K49" s="210">
        <v>-3.7504934859849981</v>
      </c>
    </row>
    <row r="50" spans="1:11" ht="13.5" customHeight="1" x14ac:dyDescent="0.2">
      <c r="A50" s="203">
        <v>53</v>
      </c>
      <c r="B50" s="204" t="s">
        <v>267</v>
      </c>
      <c r="C50" s="205"/>
      <c r="D50" s="206">
        <v>0.75965273018048896</v>
      </c>
      <c r="E50" s="207">
        <v>665</v>
      </c>
      <c r="F50" s="208">
        <v>655</v>
      </c>
      <c r="G50" s="208">
        <v>687</v>
      </c>
      <c r="H50" s="208">
        <v>697</v>
      </c>
      <c r="I50" s="209">
        <v>697</v>
      </c>
      <c r="J50" s="207">
        <v>-32</v>
      </c>
      <c r="K50" s="210">
        <v>-4.5911047345767573</v>
      </c>
    </row>
    <row r="51" spans="1:11" ht="13.5" customHeight="1" x14ac:dyDescent="0.2">
      <c r="A51" s="203" t="s">
        <v>268</v>
      </c>
      <c r="B51" s="204" t="s">
        <v>269</v>
      </c>
      <c r="C51" s="205"/>
      <c r="D51" s="206">
        <v>0.62143020333561805</v>
      </c>
      <c r="E51" s="207">
        <v>544</v>
      </c>
      <c r="F51" s="208">
        <v>531</v>
      </c>
      <c r="G51" s="208">
        <v>561</v>
      </c>
      <c r="H51" s="208">
        <v>568</v>
      </c>
      <c r="I51" s="209">
        <v>563</v>
      </c>
      <c r="J51" s="207">
        <v>-19</v>
      </c>
      <c r="K51" s="210">
        <v>-3.374777975133215</v>
      </c>
    </row>
    <row r="52" spans="1:11" ht="13.5" customHeight="1" x14ac:dyDescent="0.2">
      <c r="A52" s="203">
        <v>54</v>
      </c>
      <c r="B52" s="204" t="s">
        <v>270</v>
      </c>
      <c r="C52" s="205"/>
      <c r="D52" s="206">
        <v>2.237834132967786</v>
      </c>
      <c r="E52" s="207">
        <v>1959</v>
      </c>
      <c r="F52" s="208">
        <v>1908</v>
      </c>
      <c r="G52" s="208">
        <v>1922</v>
      </c>
      <c r="H52" s="208">
        <v>1942</v>
      </c>
      <c r="I52" s="209">
        <v>1907</v>
      </c>
      <c r="J52" s="207">
        <v>52</v>
      </c>
      <c r="K52" s="210">
        <v>2.7267960146827477</v>
      </c>
    </row>
    <row r="53" spans="1:11" ht="13.5" customHeight="1" x14ac:dyDescent="0.2">
      <c r="A53" s="203">
        <v>61</v>
      </c>
      <c r="B53" s="204" t="s">
        <v>271</v>
      </c>
      <c r="C53" s="205"/>
      <c r="D53" s="206">
        <v>1.558144848069454</v>
      </c>
      <c r="E53" s="207">
        <v>1364</v>
      </c>
      <c r="F53" s="208">
        <v>1382</v>
      </c>
      <c r="G53" s="208">
        <v>1396</v>
      </c>
      <c r="H53" s="208">
        <v>1402</v>
      </c>
      <c r="I53" s="209">
        <v>1385</v>
      </c>
      <c r="J53" s="207">
        <v>-21</v>
      </c>
      <c r="K53" s="210">
        <v>-1.5162454873646209</v>
      </c>
    </row>
    <row r="54" spans="1:11" ht="13.5" customHeight="1" x14ac:dyDescent="0.2">
      <c r="A54" s="203">
        <v>62</v>
      </c>
      <c r="B54" s="204" t="s">
        <v>272</v>
      </c>
      <c r="C54" s="205"/>
      <c r="D54" s="206">
        <v>6.4976010966415352</v>
      </c>
      <c r="E54" s="207">
        <v>5688</v>
      </c>
      <c r="F54" s="208">
        <v>5703</v>
      </c>
      <c r="G54" s="208">
        <v>5831</v>
      </c>
      <c r="H54" s="208">
        <v>5913</v>
      </c>
      <c r="I54" s="209">
        <v>5843</v>
      </c>
      <c r="J54" s="207">
        <v>-155</v>
      </c>
      <c r="K54" s="210">
        <v>-2.6527468766044842</v>
      </c>
    </row>
    <row r="55" spans="1:11" ht="13.5" customHeight="1" x14ac:dyDescent="0.2">
      <c r="A55" s="203">
        <v>63</v>
      </c>
      <c r="B55" s="204" t="s">
        <v>273</v>
      </c>
      <c r="C55" s="205"/>
      <c r="D55" s="206">
        <v>2.0733379026730638</v>
      </c>
      <c r="E55" s="207">
        <v>1815</v>
      </c>
      <c r="F55" s="208">
        <v>1696</v>
      </c>
      <c r="G55" s="208">
        <v>1765</v>
      </c>
      <c r="H55" s="208">
        <v>1872</v>
      </c>
      <c r="I55" s="209">
        <v>1789</v>
      </c>
      <c r="J55" s="207">
        <v>26</v>
      </c>
      <c r="K55" s="210">
        <v>1.4533258803801006</v>
      </c>
    </row>
    <row r="56" spans="1:11" ht="13.5" customHeight="1" x14ac:dyDescent="0.2">
      <c r="A56" s="203" t="s">
        <v>274</v>
      </c>
      <c r="B56" s="204" t="s">
        <v>275</v>
      </c>
      <c r="C56" s="205"/>
      <c r="D56" s="206">
        <v>0.41124057573680606</v>
      </c>
      <c r="E56" s="207">
        <v>360</v>
      </c>
      <c r="F56" s="208">
        <v>350</v>
      </c>
      <c r="G56" s="208">
        <v>365</v>
      </c>
      <c r="H56" s="208">
        <v>374</v>
      </c>
      <c r="I56" s="209">
        <v>370</v>
      </c>
      <c r="J56" s="207">
        <v>-10</v>
      </c>
      <c r="K56" s="210">
        <v>-2.7027027027027026</v>
      </c>
    </row>
    <row r="57" spans="1:11" ht="13.5" customHeight="1" x14ac:dyDescent="0.2">
      <c r="A57" s="203" t="s">
        <v>276</v>
      </c>
      <c r="B57" s="204" t="s">
        <v>277</v>
      </c>
      <c r="C57" s="205"/>
      <c r="D57" s="206">
        <v>1.4313456705506054</v>
      </c>
      <c r="E57" s="207">
        <v>1253</v>
      </c>
      <c r="F57" s="208">
        <v>1148</v>
      </c>
      <c r="G57" s="208">
        <v>1185</v>
      </c>
      <c r="H57" s="208">
        <v>1275</v>
      </c>
      <c r="I57" s="209">
        <v>1203</v>
      </c>
      <c r="J57" s="207">
        <v>50</v>
      </c>
      <c r="K57" s="210">
        <v>4.1562759767248547</v>
      </c>
    </row>
    <row r="58" spans="1:11" ht="13.5" customHeight="1" x14ac:dyDescent="0.2">
      <c r="A58" s="203">
        <v>71</v>
      </c>
      <c r="B58" s="204" t="s">
        <v>278</v>
      </c>
      <c r="C58" s="205"/>
      <c r="D58" s="206">
        <v>9.4071281699794387</v>
      </c>
      <c r="E58" s="207">
        <v>8235</v>
      </c>
      <c r="F58" s="208">
        <v>8239</v>
      </c>
      <c r="G58" s="208">
        <v>8312</v>
      </c>
      <c r="H58" s="208">
        <v>8365</v>
      </c>
      <c r="I58" s="209">
        <v>8273</v>
      </c>
      <c r="J58" s="207">
        <v>-38</v>
      </c>
      <c r="K58" s="210">
        <v>-0.45932551674120631</v>
      </c>
    </row>
    <row r="59" spans="1:11" ht="13.5" customHeight="1" x14ac:dyDescent="0.2">
      <c r="A59" s="203" t="s">
        <v>279</v>
      </c>
      <c r="B59" s="204" t="s">
        <v>280</v>
      </c>
      <c r="C59" s="205"/>
      <c r="D59" s="206">
        <v>3.2019648160840757</v>
      </c>
      <c r="E59" s="207">
        <v>2803</v>
      </c>
      <c r="F59" s="208">
        <v>2825</v>
      </c>
      <c r="G59" s="208">
        <v>2864</v>
      </c>
      <c r="H59" s="208">
        <v>2879</v>
      </c>
      <c r="I59" s="209">
        <v>2866</v>
      </c>
      <c r="J59" s="207">
        <v>-63</v>
      </c>
      <c r="K59" s="210">
        <v>-2.1981856245638522</v>
      </c>
    </row>
    <row r="60" spans="1:11" ht="13.5" customHeight="1" x14ac:dyDescent="0.2">
      <c r="A60" s="203" t="s">
        <v>281</v>
      </c>
      <c r="B60" s="204" t="s">
        <v>282</v>
      </c>
      <c r="C60" s="205"/>
      <c r="D60" s="206">
        <v>5.1930546036097782</v>
      </c>
      <c r="E60" s="207">
        <v>4546</v>
      </c>
      <c r="F60" s="208">
        <v>4523</v>
      </c>
      <c r="G60" s="208">
        <v>4562</v>
      </c>
      <c r="H60" s="208">
        <v>4587</v>
      </c>
      <c r="I60" s="209">
        <v>4525</v>
      </c>
      <c r="J60" s="207">
        <v>21</v>
      </c>
      <c r="K60" s="210">
        <v>0.46408839779005523</v>
      </c>
    </row>
    <row r="61" spans="1:11" ht="13.5" customHeight="1" x14ac:dyDescent="0.2">
      <c r="A61" s="203">
        <v>72</v>
      </c>
      <c r="B61" s="204" t="s">
        <v>283</v>
      </c>
      <c r="C61" s="205"/>
      <c r="D61" s="206">
        <v>2.4765821338816543</v>
      </c>
      <c r="E61" s="207">
        <v>2168</v>
      </c>
      <c r="F61" s="208">
        <v>2149</v>
      </c>
      <c r="G61" s="208">
        <v>2171</v>
      </c>
      <c r="H61" s="208">
        <v>2173</v>
      </c>
      <c r="I61" s="209">
        <v>2158</v>
      </c>
      <c r="J61" s="207">
        <v>10</v>
      </c>
      <c r="K61" s="210">
        <v>0.46339202965708992</v>
      </c>
    </row>
    <row r="62" spans="1:11" ht="13.5" customHeight="1" x14ac:dyDescent="0.2">
      <c r="A62" s="203" t="s">
        <v>284</v>
      </c>
      <c r="B62" s="204" t="s">
        <v>285</v>
      </c>
      <c r="C62" s="205"/>
      <c r="D62" s="206">
        <v>0.9401416495316427</v>
      </c>
      <c r="E62" s="207">
        <v>823</v>
      </c>
      <c r="F62" s="208">
        <v>817</v>
      </c>
      <c r="G62" s="208">
        <v>822</v>
      </c>
      <c r="H62" s="208">
        <v>817</v>
      </c>
      <c r="I62" s="209">
        <v>810</v>
      </c>
      <c r="J62" s="207">
        <v>13</v>
      </c>
      <c r="K62" s="210">
        <v>1.6049382716049383</v>
      </c>
    </row>
    <row r="63" spans="1:11" ht="13.5" customHeight="1" x14ac:dyDescent="0.2">
      <c r="A63" s="203" t="s">
        <v>286</v>
      </c>
      <c r="B63" s="204" t="s">
        <v>287</v>
      </c>
      <c r="C63" s="205"/>
      <c r="D63" s="206">
        <v>1.1400502627370346</v>
      </c>
      <c r="E63" s="207">
        <v>998</v>
      </c>
      <c r="F63" s="208">
        <v>980</v>
      </c>
      <c r="G63" s="208">
        <v>997</v>
      </c>
      <c r="H63" s="208">
        <v>995</v>
      </c>
      <c r="I63" s="209">
        <v>1000</v>
      </c>
      <c r="J63" s="207">
        <v>-2</v>
      </c>
      <c r="K63" s="210">
        <v>-0.2</v>
      </c>
    </row>
    <row r="64" spans="1:11" ht="13.5" customHeight="1" x14ac:dyDescent="0.2">
      <c r="A64" s="203">
        <v>73</v>
      </c>
      <c r="B64" s="204" t="s">
        <v>288</v>
      </c>
      <c r="C64" s="205"/>
      <c r="D64" s="206">
        <v>2.8672606808316199</v>
      </c>
      <c r="E64" s="207">
        <v>2510</v>
      </c>
      <c r="F64" s="208">
        <v>2511</v>
      </c>
      <c r="G64" s="208">
        <v>2558</v>
      </c>
      <c r="H64" s="208">
        <v>2545</v>
      </c>
      <c r="I64" s="209">
        <v>2539</v>
      </c>
      <c r="J64" s="207">
        <v>-29</v>
      </c>
      <c r="K64" s="210">
        <v>-1.1421819614021269</v>
      </c>
    </row>
    <row r="65" spans="1:11" ht="13.5" customHeight="1" x14ac:dyDescent="0.2">
      <c r="A65" s="203" t="s">
        <v>289</v>
      </c>
      <c r="B65" s="204" t="s">
        <v>290</v>
      </c>
      <c r="C65" s="205"/>
      <c r="D65" s="206">
        <v>2.5633995887594243</v>
      </c>
      <c r="E65" s="207">
        <v>2244</v>
      </c>
      <c r="F65" s="208">
        <v>2246</v>
      </c>
      <c r="G65" s="208">
        <v>2289</v>
      </c>
      <c r="H65" s="208">
        <v>2270</v>
      </c>
      <c r="I65" s="209">
        <v>2272</v>
      </c>
      <c r="J65" s="207">
        <v>-28</v>
      </c>
      <c r="K65" s="210">
        <v>-1.232394366197183</v>
      </c>
    </row>
    <row r="66" spans="1:11" ht="13.5" customHeight="1" x14ac:dyDescent="0.2">
      <c r="A66" s="203">
        <v>81</v>
      </c>
      <c r="B66" s="204" t="s">
        <v>291</v>
      </c>
      <c r="C66" s="205"/>
      <c r="D66" s="206">
        <v>9.9634452821567283</v>
      </c>
      <c r="E66" s="207">
        <v>8722</v>
      </c>
      <c r="F66" s="208">
        <v>8762</v>
      </c>
      <c r="G66" s="208">
        <v>8786</v>
      </c>
      <c r="H66" s="208">
        <v>8803</v>
      </c>
      <c r="I66" s="209">
        <v>8561</v>
      </c>
      <c r="J66" s="207">
        <v>161</v>
      </c>
      <c r="K66" s="210">
        <v>1.8806214227309894</v>
      </c>
    </row>
    <row r="67" spans="1:11" ht="13.5" customHeight="1" x14ac:dyDescent="0.2">
      <c r="A67" s="203" t="s">
        <v>292</v>
      </c>
      <c r="B67" s="204" t="s">
        <v>293</v>
      </c>
      <c r="C67" s="205"/>
      <c r="D67" s="206">
        <v>1.4599040438656614</v>
      </c>
      <c r="E67" s="207">
        <v>1278</v>
      </c>
      <c r="F67" s="208">
        <v>1308</v>
      </c>
      <c r="G67" s="208">
        <v>1315</v>
      </c>
      <c r="H67" s="208">
        <v>1334</v>
      </c>
      <c r="I67" s="209">
        <v>1304</v>
      </c>
      <c r="J67" s="207">
        <v>-26</v>
      </c>
      <c r="K67" s="210">
        <v>-1.9938650306748467</v>
      </c>
    </row>
    <row r="68" spans="1:11" ht="13.5" customHeight="1" x14ac:dyDescent="0.2">
      <c r="A68" s="203" t="s">
        <v>294</v>
      </c>
      <c r="B68" s="204" t="s">
        <v>295</v>
      </c>
      <c r="C68" s="215"/>
      <c r="D68" s="206">
        <v>5.6305688827964362</v>
      </c>
      <c r="E68" s="207">
        <v>4929</v>
      </c>
      <c r="F68" s="208">
        <v>4943</v>
      </c>
      <c r="G68" s="208">
        <v>4947</v>
      </c>
      <c r="H68" s="208">
        <v>4969</v>
      </c>
      <c r="I68" s="209">
        <v>4810</v>
      </c>
      <c r="J68" s="207">
        <v>119</v>
      </c>
      <c r="K68" s="210">
        <v>2.4740124740124738</v>
      </c>
    </row>
    <row r="69" spans="1:11" ht="13.5" customHeight="1" x14ac:dyDescent="0.2">
      <c r="A69" s="203" t="s">
        <v>296</v>
      </c>
      <c r="B69" s="204" t="s">
        <v>297</v>
      </c>
      <c r="C69" s="205"/>
      <c r="D69" s="206">
        <v>0.81448480694539638</v>
      </c>
      <c r="E69" s="207">
        <v>713</v>
      </c>
      <c r="F69" s="208">
        <v>693</v>
      </c>
      <c r="G69" s="208">
        <v>694</v>
      </c>
      <c r="H69" s="208">
        <v>690</v>
      </c>
      <c r="I69" s="209">
        <v>680</v>
      </c>
      <c r="J69" s="207">
        <v>33</v>
      </c>
      <c r="K69" s="210">
        <v>4.8529411764705879</v>
      </c>
    </row>
    <row r="70" spans="1:11" ht="13.5" customHeight="1" x14ac:dyDescent="0.2">
      <c r="A70" s="203" t="s">
        <v>298</v>
      </c>
      <c r="B70" s="204" t="s">
        <v>299</v>
      </c>
      <c r="C70" s="205"/>
      <c r="D70" s="206">
        <v>1.2702764450536896</v>
      </c>
      <c r="E70" s="207">
        <v>1112</v>
      </c>
      <c r="F70" s="208">
        <v>1120</v>
      </c>
      <c r="G70" s="208">
        <v>1129</v>
      </c>
      <c r="H70" s="208">
        <v>1121</v>
      </c>
      <c r="I70" s="209">
        <v>1120</v>
      </c>
      <c r="J70" s="207">
        <v>-8</v>
      </c>
      <c r="K70" s="210">
        <v>-0.7142857142857143</v>
      </c>
    </row>
    <row r="71" spans="1:11" ht="13.5" customHeight="1" x14ac:dyDescent="0.2">
      <c r="A71" s="203">
        <v>82</v>
      </c>
      <c r="B71" s="204" t="s">
        <v>300</v>
      </c>
      <c r="C71" s="205"/>
      <c r="D71" s="206">
        <v>4.8183687457162439</v>
      </c>
      <c r="E71" s="207">
        <v>4218</v>
      </c>
      <c r="F71" s="208">
        <v>4226</v>
      </c>
      <c r="G71" s="208">
        <v>4297</v>
      </c>
      <c r="H71" s="208">
        <v>4304</v>
      </c>
      <c r="I71" s="209">
        <v>4334</v>
      </c>
      <c r="J71" s="207">
        <v>-116</v>
      </c>
      <c r="K71" s="210">
        <v>-2.6765113059529302</v>
      </c>
    </row>
    <row r="72" spans="1:11" ht="13.5" customHeight="1" x14ac:dyDescent="0.2">
      <c r="A72" s="203" t="s">
        <v>301</v>
      </c>
      <c r="B72" s="216" t="s">
        <v>549</v>
      </c>
      <c r="C72" s="205"/>
      <c r="D72" s="206">
        <v>3.8016906557002512</v>
      </c>
      <c r="E72" s="207">
        <v>3328</v>
      </c>
      <c r="F72" s="208">
        <v>3332</v>
      </c>
      <c r="G72" s="208">
        <v>3381</v>
      </c>
      <c r="H72" s="208">
        <v>3379</v>
      </c>
      <c r="I72" s="209">
        <v>3418</v>
      </c>
      <c r="J72" s="207">
        <v>-90</v>
      </c>
      <c r="K72" s="210">
        <v>-2.6331187829139848</v>
      </c>
    </row>
    <row r="73" spans="1:11" ht="13.5" customHeight="1" x14ac:dyDescent="0.2">
      <c r="A73" s="203" t="s">
        <v>302</v>
      </c>
      <c r="B73" s="204" t="s">
        <v>303</v>
      </c>
      <c r="C73" s="205"/>
      <c r="D73" s="206">
        <v>0.53918208818825675</v>
      </c>
      <c r="E73" s="207">
        <v>472</v>
      </c>
      <c r="F73" s="208">
        <v>471</v>
      </c>
      <c r="G73" s="208">
        <v>473</v>
      </c>
      <c r="H73" s="208">
        <v>477</v>
      </c>
      <c r="I73" s="209">
        <v>477</v>
      </c>
      <c r="J73" s="207">
        <v>-5</v>
      </c>
      <c r="K73" s="210">
        <v>-1.0482180293501049</v>
      </c>
    </row>
    <row r="74" spans="1:11" ht="13.5" customHeight="1" x14ac:dyDescent="0.2">
      <c r="A74" s="203">
        <v>83</v>
      </c>
      <c r="B74" s="204" t="s">
        <v>304</v>
      </c>
      <c r="C74" s="205"/>
      <c r="D74" s="206">
        <v>7.620516335389536</v>
      </c>
      <c r="E74" s="207">
        <v>6671</v>
      </c>
      <c r="F74" s="208">
        <v>6661</v>
      </c>
      <c r="G74" s="208">
        <v>6676</v>
      </c>
      <c r="H74" s="208">
        <v>6613</v>
      </c>
      <c r="I74" s="209">
        <v>6517</v>
      </c>
      <c r="J74" s="207">
        <v>154</v>
      </c>
      <c r="K74" s="210">
        <v>2.3630504833512354</v>
      </c>
    </row>
    <row r="75" spans="1:11" ht="13.5" customHeight="1" x14ac:dyDescent="0.2">
      <c r="A75" s="203" t="s">
        <v>305</v>
      </c>
      <c r="B75" s="204" t="s">
        <v>306</v>
      </c>
      <c r="C75" s="205"/>
      <c r="D75" s="206">
        <v>6.4359150102810148</v>
      </c>
      <c r="E75" s="207">
        <v>5634</v>
      </c>
      <c r="F75" s="208">
        <v>5623</v>
      </c>
      <c r="G75" s="208">
        <v>5650</v>
      </c>
      <c r="H75" s="208">
        <v>5589</v>
      </c>
      <c r="I75" s="209">
        <v>5493</v>
      </c>
      <c r="J75" s="207">
        <v>141</v>
      </c>
      <c r="K75" s="210">
        <v>2.5669033315128345</v>
      </c>
    </row>
    <row r="76" spans="1:11" ht="13.5" customHeight="1" x14ac:dyDescent="0.2">
      <c r="A76" s="203"/>
      <c r="B76" s="204" t="s">
        <v>307</v>
      </c>
      <c r="C76" s="205"/>
      <c r="D76" s="206">
        <v>3.1893991318254513</v>
      </c>
      <c r="E76" s="207">
        <v>2792</v>
      </c>
      <c r="F76" s="208">
        <v>2816</v>
      </c>
      <c r="G76" s="208">
        <v>2853</v>
      </c>
      <c r="H76" s="208">
        <v>2836</v>
      </c>
      <c r="I76" s="209">
        <v>2832</v>
      </c>
      <c r="J76" s="207">
        <v>-40</v>
      </c>
      <c r="K76" s="210">
        <v>-1.4124293785310735</v>
      </c>
    </row>
    <row r="77" spans="1:11" ht="13.5" customHeight="1" x14ac:dyDescent="0.2">
      <c r="A77" s="203">
        <v>84</v>
      </c>
      <c r="B77" s="204" t="s">
        <v>308</v>
      </c>
      <c r="C77" s="205"/>
      <c r="D77" s="206">
        <v>3.2385195339273474</v>
      </c>
      <c r="E77" s="207">
        <v>2835</v>
      </c>
      <c r="F77" s="208">
        <v>2891</v>
      </c>
      <c r="G77" s="208">
        <v>2915</v>
      </c>
      <c r="H77" s="208">
        <v>2888</v>
      </c>
      <c r="I77" s="209">
        <v>2897</v>
      </c>
      <c r="J77" s="207">
        <v>-62</v>
      </c>
      <c r="K77" s="210">
        <v>-2.1401449775629962</v>
      </c>
    </row>
    <row r="78" spans="1:11" ht="13.5" customHeight="1" x14ac:dyDescent="0.2">
      <c r="A78" s="203" t="s">
        <v>309</v>
      </c>
      <c r="B78" s="204" t="s">
        <v>310</v>
      </c>
      <c r="C78" s="205"/>
      <c r="D78" s="206">
        <v>1.8562942654786383</v>
      </c>
      <c r="E78" s="207">
        <v>1625</v>
      </c>
      <c r="F78" s="208">
        <v>1680</v>
      </c>
      <c r="G78" s="208">
        <v>1688</v>
      </c>
      <c r="H78" s="208">
        <v>1670</v>
      </c>
      <c r="I78" s="209">
        <v>1700</v>
      </c>
      <c r="J78" s="207">
        <v>-75</v>
      </c>
      <c r="K78" s="210">
        <v>-4.4117647058823533</v>
      </c>
    </row>
    <row r="79" spans="1:11" ht="13.5" customHeight="1" x14ac:dyDescent="0.2">
      <c r="A79" s="203" t="s">
        <v>311</v>
      </c>
      <c r="B79" s="204" t="s">
        <v>312</v>
      </c>
      <c r="C79" s="205"/>
      <c r="D79" s="206">
        <v>0.44094128398446425</v>
      </c>
      <c r="E79" s="207">
        <v>386</v>
      </c>
      <c r="F79" s="208">
        <v>382</v>
      </c>
      <c r="G79" s="208">
        <v>389</v>
      </c>
      <c r="H79" s="208">
        <v>395</v>
      </c>
      <c r="I79" s="209">
        <v>400</v>
      </c>
      <c r="J79" s="207">
        <v>-14</v>
      </c>
      <c r="K79" s="210">
        <v>-3.5</v>
      </c>
    </row>
    <row r="80" spans="1:11" s="87" customFormat="1" ht="13.5" customHeight="1" x14ac:dyDescent="0.2">
      <c r="A80" s="203" t="s">
        <v>313</v>
      </c>
      <c r="B80" s="204" t="s">
        <v>314</v>
      </c>
      <c r="C80" s="205"/>
      <c r="D80" s="206">
        <v>0.55860178204249489</v>
      </c>
      <c r="E80" s="207">
        <v>489</v>
      </c>
      <c r="F80" s="208">
        <v>473</v>
      </c>
      <c r="G80" s="208">
        <v>468</v>
      </c>
      <c r="H80" s="208">
        <v>449</v>
      </c>
      <c r="I80" s="209">
        <v>441</v>
      </c>
      <c r="J80" s="207">
        <v>48</v>
      </c>
      <c r="K80" s="210">
        <v>10.884353741496598</v>
      </c>
    </row>
    <row r="81" spans="1:11" s="87" customFormat="1" ht="13.5" customHeight="1" x14ac:dyDescent="0.2">
      <c r="A81" s="203">
        <v>91</v>
      </c>
      <c r="B81" s="204" t="s">
        <v>315</v>
      </c>
      <c r="C81" s="205"/>
      <c r="D81" s="206">
        <v>0.13365318711446195</v>
      </c>
      <c r="E81" s="207">
        <v>117</v>
      </c>
      <c r="F81" s="208">
        <v>118</v>
      </c>
      <c r="G81" s="208">
        <v>115</v>
      </c>
      <c r="H81" s="208">
        <v>115</v>
      </c>
      <c r="I81" s="209">
        <v>120</v>
      </c>
      <c r="J81" s="207">
        <v>-3</v>
      </c>
      <c r="K81" s="210">
        <v>-2.5</v>
      </c>
    </row>
    <row r="82" spans="1:11" s="60" customFormat="1" ht="13.5" customHeight="1" x14ac:dyDescent="0.2">
      <c r="A82" s="203">
        <v>92</v>
      </c>
      <c r="B82" s="204" t="s">
        <v>316</v>
      </c>
      <c r="C82" s="205"/>
      <c r="D82" s="206">
        <v>0.80191912268677179</v>
      </c>
      <c r="E82" s="207">
        <v>702</v>
      </c>
      <c r="F82" s="208">
        <v>723</v>
      </c>
      <c r="G82" s="208">
        <v>748</v>
      </c>
      <c r="H82" s="208">
        <v>775</v>
      </c>
      <c r="I82" s="209">
        <v>834</v>
      </c>
      <c r="J82" s="207">
        <v>-132</v>
      </c>
      <c r="K82" s="210">
        <v>-15.827338129496402</v>
      </c>
    </row>
    <row r="83" spans="1:11" s="87" customFormat="1" ht="13.5" customHeight="1" x14ac:dyDescent="0.2">
      <c r="A83" s="203">
        <v>93</v>
      </c>
      <c r="B83" s="204" t="s">
        <v>317</v>
      </c>
      <c r="C83" s="205"/>
      <c r="D83" s="206">
        <v>0.31756911126342241</v>
      </c>
      <c r="E83" s="207">
        <v>278</v>
      </c>
      <c r="F83" s="208">
        <v>280</v>
      </c>
      <c r="G83" s="208">
        <v>290</v>
      </c>
      <c r="H83" s="208">
        <v>300</v>
      </c>
      <c r="I83" s="209">
        <v>296</v>
      </c>
      <c r="J83" s="207">
        <v>-18</v>
      </c>
      <c r="K83" s="210">
        <v>-6.0810810810810807</v>
      </c>
    </row>
    <row r="84" spans="1:11" s="60" customFormat="1" ht="13.5" customHeight="1" x14ac:dyDescent="0.2">
      <c r="A84" s="203">
        <v>94</v>
      </c>
      <c r="B84" s="204" t="s">
        <v>318</v>
      </c>
      <c r="C84" s="205"/>
      <c r="D84" s="206">
        <v>0.37925519762394333</v>
      </c>
      <c r="E84" s="207">
        <v>332</v>
      </c>
      <c r="F84" s="208">
        <v>347</v>
      </c>
      <c r="G84" s="208">
        <v>344</v>
      </c>
      <c r="H84" s="208">
        <v>358</v>
      </c>
      <c r="I84" s="209">
        <v>324</v>
      </c>
      <c r="J84" s="207">
        <v>8</v>
      </c>
      <c r="K84" s="210">
        <v>2.4691358024691357</v>
      </c>
    </row>
    <row r="85" spans="1:11" s="60" customFormat="1" ht="13.5" customHeight="1" x14ac:dyDescent="0.2">
      <c r="A85" s="217" t="s">
        <v>319</v>
      </c>
      <c r="B85" s="218" t="s">
        <v>320</v>
      </c>
      <c r="C85" s="219"/>
      <c r="D85" s="220">
        <v>0.91272561114918893</v>
      </c>
      <c r="E85" s="221">
        <v>799</v>
      </c>
      <c r="F85" s="222">
        <v>803</v>
      </c>
      <c r="G85" s="222">
        <v>814</v>
      </c>
      <c r="H85" s="222">
        <v>818</v>
      </c>
      <c r="I85" s="223">
        <v>807</v>
      </c>
      <c r="J85" s="221">
        <v>-8</v>
      </c>
      <c r="K85" s="429">
        <v>-0.99132589838909546</v>
      </c>
    </row>
    <row r="86" spans="1:11" ht="12.75" customHeight="1" x14ac:dyDescent="0.2">
      <c r="A86" s="87"/>
      <c r="B86" s="87"/>
      <c r="C86" s="87"/>
      <c r="D86" s="87"/>
      <c r="E86" s="87"/>
      <c r="F86" s="87"/>
      <c r="G86" s="87"/>
      <c r="H86" s="87"/>
      <c r="I86" s="87"/>
      <c r="J86" s="87"/>
      <c r="K86" s="88" t="s">
        <v>37</v>
      </c>
    </row>
    <row r="87" spans="1:11" ht="15.75" customHeight="1" x14ac:dyDescent="0.2">
      <c r="A87" s="87" t="s">
        <v>116</v>
      </c>
      <c r="B87" s="87"/>
      <c r="C87" s="87"/>
      <c r="D87" s="87"/>
      <c r="E87" s="87"/>
      <c r="F87" s="87"/>
      <c r="G87" s="87"/>
      <c r="H87" s="87"/>
      <c r="I87" s="87"/>
      <c r="J87" s="87"/>
      <c r="K87" s="87"/>
    </row>
    <row r="88" spans="1:11" ht="15.75" customHeight="1" x14ac:dyDescent="0.2">
      <c r="A88" s="224" t="s">
        <v>321</v>
      </c>
      <c r="B88" s="225"/>
      <c r="C88" s="225"/>
      <c r="D88" s="225"/>
      <c r="E88" s="225"/>
      <c r="F88" s="87"/>
      <c r="G88" s="87"/>
      <c r="H88" s="87"/>
      <c r="I88" s="87"/>
      <c r="J88" s="87"/>
      <c r="K88" s="87"/>
    </row>
    <row r="89" spans="1:11" ht="57" customHeight="1" x14ac:dyDescent="0.2">
      <c r="A89" s="489" t="s">
        <v>322</v>
      </c>
      <c r="B89" s="489"/>
      <c r="C89" s="489"/>
      <c r="D89" s="489"/>
      <c r="E89" s="489"/>
      <c r="F89" s="489"/>
      <c r="G89" s="489"/>
      <c r="H89" s="489"/>
      <c r="I89" s="489"/>
      <c r="J89" s="489"/>
      <c r="K89" s="489"/>
    </row>
    <row r="90" spans="1:11" ht="21.75" customHeight="1" x14ac:dyDescent="0.2">
      <c r="A90" s="440" t="s">
        <v>323</v>
      </c>
      <c r="B90" s="440"/>
      <c r="C90" s="440"/>
      <c r="D90" s="440"/>
      <c r="E90" s="440"/>
      <c r="F90" s="440"/>
      <c r="G90" s="440"/>
      <c r="H90" s="440"/>
      <c r="I90" s="440"/>
      <c r="J90" s="440"/>
      <c r="K90" s="440"/>
    </row>
    <row r="91" spans="1:11" ht="15.75" customHeight="1" x14ac:dyDescent="0.2">
      <c r="A91" s="440" t="s">
        <v>324</v>
      </c>
      <c r="B91" s="440"/>
      <c r="C91" s="440"/>
      <c r="D91" s="440"/>
      <c r="E91" s="440"/>
      <c r="F91" s="440"/>
      <c r="G91" s="440"/>
      <c r="H91" s="440"/>
      <c r="I91" s="440"/>
      <c r="J91" s="440"/>
      <c r="K91" s="440"/>
    </row>
    <row r="92" spans="1:11" ht="15.75" customHeight="1" x14ac:dyDescent="0.2">
      <c r="A92" s="490"/>
      <c r="B92" s="490"/>
      <c r="C92" s="490"/>
      <c r="D92" s="490"/>
      <c r="E92" s="490"/>
      <c r="F92" s="490"/>
      <c r="G92" s="490"/>
      <c r="H92" s="490"/>
      <c r="I92" s="490"/>
      <c r="J92" s="490"/>
      <c r="K92" s="490"/>
    </row>
    <row r="93" spans="1:11" ht="15.75" customHeight="1" x14ac:dyDescent="0.2">
      <c r="D93" s="37"/>
      <c r="E93" s="37"/>
      <c r="F93" s="37"/>
      <c r="G93" s="37"/>
      <c r="H93" s="37"/>
      <c r="I93" s="37"/>
      <c r="J93" s="37"/>
      <c r="K93" s="37"/>
    </row>
    <row r="94" spans="1:11" ht="15.75" customHeight="1" x14ac:dyDescent="0.2">
      <c r="D94" s="37"/>
      <c r="E94" s="37"/>
      <c r="F94" s="37"/>
      <c r="G94" s="37"/>
      <c r="H94" s="37"/>
      <c r="I94" s="37"/>
      <c r="J94" s="37"/>
      <c r="K94" s="37"/>
    </row>
    <row r="95" spans="1:11" ht="15.75" customHeight="1" x14ac:dyDescent="0.2">
      <c r="D95" s="37"/>
      <c r="E95" s="37"/>
      <c r="F95" s="37"/>
      <c r="G95" s="37"/>
      <c r="H95" s="37"/>
      <c r="I95" s="37"/>
      <c r="J95" s="37"/>
      <c r="K95" s="37"/>
    </row>
    <row r="96" spans="1:11" ht="15.75" customHeight="1" x14ac:dyDescent="0.2">
      <c r="D96" s="37"/>
      <c r="E96" s="37"/>
      <c r="F96" s="37"/>
      <c r="G96" s="37"/>
      <c r="H96" s="37"/>
      <c r="I96" s="37"/>
      <c r="J96" s="37"/>
      <c r="K96" s="37"/>
    </row>
    <row r="97" s="37" customFormat="1" ht="15.75" customHeight="1" x14ac:dyDescent="0.2"/>
    <row r="98" s="37" customFormat="1" ht="15.75" customHeight="1" x14ac:dyDescent="0.2"/>
    <row r="99" s="37" customFormat="1" ht="15.75" customHeight="1" x14ac:dyDescent="0.2"/>
    <row r="100" s="37" customFormat="1" ht="18" customHeight="1" x14ac:dyDescent="0.2"/>
    <row r="101" s="37" customFormat="1" ht="18" customHeight="1" x14ac:dyDescent="0.2"/>
    <row r="102" s="37" customFormat="1" ht="18" customHeight="1" x14ac:dyDescent="0.2"/>
    <row r="103" s="37" customFormat="1" ht="18" customHeight="1" x14ac:dyDescent="0.2"/>
    <row r="104" s="37" customFormat="1" ht="18" customHeight="1" x14ac:dyDescent="0.2"/>
    <row r="105" s="37" customFormat="1" ht="18" customHeight="1" x14ac:dyDescent="0.2"/>
    <row r="106" s="37" customFormat="1" ht="18" customHeight="1" x14ac:dyDescent="0.2"/>
    <row r="107" s="37" customFormat="1" ht="18" customHeight="1" x14ac:dyDescent="0.2"/>
    <row r="108" s="37" customFormat="1" ht="18" customHeight="1" x14ac:dyDescent="0.2"/>
    <row r="109" s="37" customFormat="1" ht="18" customHeight="1" x14ac:dyDescent="0.2"/>
    <row r="110" s="37" customFormat="1" ht="18" customHeight="1" x14ac:dyDescent="0.2"/>
    <row r="111" s="37" customFormat="1" ht="18" customHeight="1" x14ac:dyDescent="0.2"/>
    <row r="112" s="37" customFormat="1" ht="18" customHeight="1" x14ac:dyDescent="0.2"/>
    <row r="113" s="37" customFormat="1" ht="18" customHeight="1" x14ac:dyDescent="0.2"/>
    <row r="114" s="37" customFormat="1" ht="16" customHeight="1" x14ac:dyDescent="0.2"/>
    <row r="115" s="37" customFormat="1" ht="16" customHeight="1" x14ac:dyDescent="0.2"/>
    <row r="116" s="37" customFormat="1" ht="16" customHeight="1" x14ac:dyDescent="0.2"/>
    <row r="117" s="37" customFormat="1" ht="16" customHeight="1" x14ac:dyDescent="0.2"/>
    <row r="118" s="37" customFormat="1" ht="16" customHeight="1" x14ac:dyDescent="0.2"/>
    <row r="119" s="37" customFormat="1" ht="16" customHeight="1" x14ac:dyDescent="0.2"/>
    <row r="120" s="37" customFormat="1" ht="16" customHeight="1" x14ac:dyDescent="0.2"/>
    <row r="121" s="37" customFormat="1" ht="16" customHeight="1" x14ac:dyDescent="0.2"/>
    <row r="122" s="37" customFormat="1" ht="16" customHeight="1" x14ac:dyDescent="0.2"/>
    <row r="123" s="37" customFormat="1" ht="16" customHeight="1" x14ac:dyDescent="0.2"/>
    <row r="124" s="37" customFormat="1" ht="16" customHeight="1" x14ac:dyDescent="0.2"/>
    <row r="125" s="37" customFormat="1" ht="16" customHeight="1" x14ac:dyDescent="0.2"/>
    <row r="126" s="37" customFormat="1" ht="16" customHeight="1" x14ac:dyDescent="0.2"/>
    <row r="127" s="37" customFormat="1" ht="16" customHeight="1" x14ac:dyDescent="0.2"/>
    <row r="128" s="37" customFormat="1" ht="16" customHeight="1" x14ac:dyDescent="0.2"/>
    <row r="129" s="37" customFormat="1" ht="16" customHeight="1" x14ac:dyDescent="0.2"/>
    <row r="130" s="37" customFormat="1" ht="16" customHeight="1" x14ac:dyDescent="0.2"/>
    <row r="131" s="37" customFormat="1" ht="16" customHeight="1" x14ac:dyDescent="0.2"/>
    <row r="132" s="37" customFormat="1" ht="16" customHeight="1" x14ac:dyDescent="0.2"/>
    <row r="133" s="37" customFormat="1" ht="16" customHeight="1" x14ac:dyDescent="0.2"/>
    <row r="134" s="37" customFormat="1" ht="16" customHeight="1" x14ac:dyDescent="0.2"/>
    <row r="135" s="37" customFormat="1" ht="16" customHeight="1" x14ac:dyDescent="0.2"/>
    <row r="136" s="37" customFormat="1" ht="16" customHeight="1" x14ac:dyDescent="0.2"/>
    <row r="137" s="37" customFormat="1" ht="16" customHeight="1" x14ac:dyDescent="0.2"/>
    <row r="138" s="37" customFormat="1" ht="16" customHeight="1" x14ac:dyDescent="0.2"/>
    <row r="139" s="37" customFormat="1" ht="16" customHeight="1" x14ac:dyDescent="0.2"/>
    <row r="140" s="37" customFormat="1" ht="16" customHeight="1" x14ac:dyDescent="0.2"/>
    <row r="141" s="37" customFormat="1" ht="16" customHeight="1" x14ac:dyDescent="0.2"/>
    <row r="142" s="37" customFormat="1" ht="16" customHeight="1" x14ac:dyDescent="0.2"/>
    <row r="143" s="37" customFormat="1" ht="16" customHeight="1" x14ac:dyDescent="0.2"/>
    <row r="144" s="37" customFormat="1" ht="16" customHeight="1" x14ac:dyDescent="0.2"/>
    <row r="145" s="37" customFormat="1" ht="16" customHeight="1" x14ac:dyDescent="0.2"/>
    <row r="146" s="37" customFormat="1" ht="16" customHeight="1" x14ac:dyDescent="0.2"/>
    <row r="147" s="37" customFormat="1" ht="16" customHeight="1" x14ac:dyDescent="0.2"/>
    <row r="148" s="37" customFormat="1" ht="16" customHeight="1" x14ac:dyDescent="0.2"/>
    <row r="149" s="37" customFormat="1" ht="16" customHeight="1" x14ac:dyDescent="0.2"/>
    <row r="150" s="37" customFormat="1" ht="16" customHeight="1" x14ac:dyDescent="0.2"/>
    <row r="151" s="37" customFormat="1" ht="16" customHeight="1" x14ac:dyDescent="0.2"/>
    <row r="152" s="37" customFormat="1" ht="16" customHeight="1" x14ac:dyDescent="0.2"/>
    <row r="153" s="37" customFormat="1" ht="16" customHeight="1" x14ac:dyDescent="0.2"/>
    <row r="154" s="37" customFormat="1" ht="16" customHeight="1" x14ac:dyDescent="0.2"/>
    <row r="155" s="37" customFormat="1" ht="16" customHeight="1" x14ac:dyDescent="0.2"/>
    <row r="156" s="37" customFormat="1" ht="16" customHeight="1" x14ac:dyDescent="0.2"/>
    <row r="157" s="37" customFormat="1" ht="16" customHeight="1" x14ac:dyDescent="0.2"/>
    <row r="158" s="37" customFormat="1" ht="16" customHeight="1" x14ac:dyDescent="0.2"/>
    <row r="159" s="37" customFormat="1" ht="16" customHeight="1" x14ac:dyDescent="0.2"/>
    <row r="160" s="37" customFormat="1" ht="16" customHeight="1" x14ac:dyDescent="0.2"/>
    <row r="161" s="37" customFormat="1" ht="16" customHeight="1" x14ac:dyDescent="0.2"/>
    <row r="162" s="37" customFormat="1" ht="16" customHeight="1" x14ac:dyDescent="0.2"/>
    <row r="163" s="37" customFormat="1" ht="16" customHeight="1" x14ac:dyDescent="0.2"/>
    <row r="164" s="37" customFormat="1" ht="16" customHeight="1" x14ac:dyDescent="0.2"/>
    <row r="165" s="37" customFormat="1" ht="16" customHeight="1" x14ac:dyDescent="0.2"/>
    <row r="166" s="37" customFormat="1" ht="16" customHeight="1" x14ac:dyDescent="0.2"/>
    <row r="167" s="37" customFormat="1" ht="16" customHeight="1" x14ac:dyDescent="0.2"/>
    <row r="168" s="37" customFormat="1" ht="16" customHeight="1" x14ac:dyDescent="0.2"/>
    <row r="169" s="37" customFormat="1" ht="16" customHeight="1" x14ac:dyDescent="0.2"/>
    <row r="170" s="37" customFormat="1" ht="16" customHeight="1" x14ac:dyDescent="0.2"/>
    <row r="171" s="37" customFormat="1" ht="16" customHeight="1" x14ac:dyDescent="0.2"/>
    <row r="172" s="37" customFormat="1" ht="16" customHeight="1" x14ac:dyDescent="0.2"/>
    <row r="173" s="37" customFormat="1" ht="16" customHeight="1" x14ac:dyDescent="0.2"/>
    <row r="174" s="37" customFormat="1" ht="16" customHeight="1" x14ac:dyDescent="0.2"/>
    <row r="175" s="37" customFormat="1" ht="16" customHeight="1" x14ac:dyDescent="0.2"/>
    <row r="176" s="37" customFormat="1" ht="16" customHeight="1" x14ac:dyDescent="0.2"/>
    <row r="177" s="37" customFormat="1" ht="16" customHeight="1" x14ac:dyDescent="0.2"/>
    <row r="178" s="37" customFormat="1" ht="16" customHeight="1" x14ac:dyDescent="0.2"/>
    <row r="179" s="37" customFormat="1" ht="16" customHeight="1" x14ac:dyDescent="0.2"/>
    <row r="180" s="37" customFormat="1" ht="16" customHeight="1" x14ac:dyDescent="0.2"/>
    <row r="181" s="37" customFormat="1" ht="16" customHeight="1" x14ac:dyDescent="0.2"/>
    <row r="182" s="37" customFormat="1" ht="16" customHeight="1" x14ac:dyDescent="0.2"/>
    <row r="183" s="37" customFormat="1" ht="16" customHeight="1" x14ac:dyDescent="0.2"/>
    <row r="184" s="37" customFormat="1" ht="16" customHeight="1" x14ac:dyDescent="0.2"/>
    <row r="185" s="37" customFormat="1" ht="16" customHeight="1" x14ac:dyDescent="0.2"/>
    <row r="186" s="37" customFormat="1" ht="16" customHeight="1" x14ac:dyDescent="0.2"/>
    <row r="187" s="37" customFormat="1" ht="16" customHeight="1" x14ac:dyDescent="0.2"/>
    <row r="188" s="37" customFormat="1" ht="16" customHeight="1" x14ac:dyDescent="0.2"/>
    <row r="189" s="37" customFormat="1" ht="16" customHeight="1" x14ac:dyDescent="0.2"/>
    <row r="190" s="37" customFormat="1" ht="16" customHeight="1" x14ac:dyDescent="0.2"/>
    <row r="191" s="37" customFormat="1" ht="16" customHeight="1" x14ac:dyDescent="0.2"/>
    <row r="192" s="37" customFormat="1" ht="16" customHeight="1" x14ac:dyDescent="0.2"/>
    <row r="193" s="37" customFormat="1" ht="16" customHeight="1" x14ac:dyDescent="0.2"/>
    <row r="194" s="37" customFormat="1" ht="16" customHeight="1" x14ac:dyDescent="0.2"/>
    <row r="195" s="37" customFormat="1" ht="16" customHeight="1" x14ac:dyDescent="0.2"/>
    <row r="196" s="37" customFormat="1" ht="16" customHeight="1" x14ac:dyDescent="0.2"/>
    <row r="197" s="37" customFormat="1" ht="16" customHeight="1" x14ac:dyDescent="0.2"/>
    <row r="198" s="37" customFormat="1" ht="16" customHeight="1" x14ac:dyDescent="0.2"/>
    <row r="199" s="37" customFormat="1" ht="16" customHeight="1" x14ac:dyDescent="0.2"/>
    <row r="200" s="37" customFormat="1" ht="16" customHeight="1" x14ac:dyDescent="0.2"/>
    <row r="201" s="37" customFormat="1" ht="16" customHeight="1" x14ac:dyDescent="0.2"/>
    <row r="202" s="37" customFormat="1" ht="16" customHeight="1" x14ac:dyDescent="0.2"/>
    <row r="203" s="37" customFormat="1" ht="16" customHeight="1" x14ac:dyDescent="0.2"/>
    <row r="204" s="37" customFormat="1" ht="16" customHeight="1" x14ac:dyDescent="0.2"/>
  </sheetData>
  <mergeCells count="16">
    <mergeCell ref="A92:K92"/>
    <mergeCell ref="A3:K3"/>
    <mergeCell ref="A4:K4"/>
    <mergeCell ref="A5:E5"/>
    <mergeCell ref="A7:C10"/>
    <mergeCell ref="D7:D10"/>
    <mergeCell ref="E7:I7"/>
    <mergeCell ref="J7:K8"/>
    <mergeCell ref="E8:E9"/>
    <mergeCell ref="F8:F9"/>
    <mergeCell ref="G8:G9"/>
    <mergeCell ref="H8:H9"/>
    <mergeCell ref="I8:I9"/>
    <mergeCell ref="A89:K89"/>
    <mergeCell ref="A90:K90"/>
    <mergeCell ref="A91:K91"/>
  </mergeCells>
  <printOptions horizontalCentered="1"/>
  <pageMargins left="0.70866141732283472" right="0.31496062992125984" top="0.74803149606299213" bottom="0.74803149606299213" header="0.31496062992125984" footer="0.31496062992125984"/>
  <pageSetup paperSize="9" scale="82" fitToHeight="0" orientation="portrait" r:id="rId1"/>
  <headerFooter alignWithMargins="0"/>
  <rowBreaks count="1" manualBreakCount="1">
    <brk id="57" max="10"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3BFE7-670F-446A-84F4-84F5205F21B9}">
  <sheetPr codeName="Tabelle9">
    <pageSetUpPr fitToPage="1"/>
  </sheetPr>
  <dimension ref="A1:P200"/>
  <sheetViews>
    <sheetView showGridLines="0" zoomScaleNormal="100" workbookViewId="0"/>
  </sheetViews>
  <sheetFormatPr defaultColWidth="8.81640625" defaultRowHeight="16" customHeight="1" x14ac:dyDescent="0.2"/>
  <cols>
    <col min="1" max="1" width="3.7265625" style="37" customWidth="1"/>
    <col min="2" max="2" width="24" style="37" customWidth="1"/>
    <col min="3" max="3" width="6.7265625" style="61" customWidth="1"/>
    <col min="4" max="9" width="9.7265625" style="90" customWidth="1"/>
    <col min="10" max="10" width="9.7265625" style="91" customWidth="1"/>
    <col min="11" max="11" width="9.7265625" style="37" customWidth="1"/>
    <col min="12" max="16384" width="8.81640625" style="37"/>
  </cols>
  <sheetData>
    <row r="1" spans="1:16" customFormat="1" ht="36.75" customHeight="1" x14ac:dyDescent="0.25">
      <c r="A1" s="30"/>
      <c r="B1" s="31"/>
      <c r="C1" s="31"/>
      <c r="D1" s="31"/>
      <c r="E1" s="31"/>
      <c r="F1" s="31"/>
      <c r="G1" s="31"/>
      <c r="H1" s="31"/>
      <c r="I1" s="31"/>
      <c r="J1" s="32" t="s">
        <v>40</v>
      </c>
    </row>
    <row r="2" spans="1:16" customFormat="1" ht="11.25" customHeight="1" x14ac:dyDescent="0.25">
      <c r="A2" s="33"/>
      <c r="B2" s="34"/>
      <c r="C2" s="34"/>
      <c r="D2" s="34"/>
      <c r="E2" s="34"/>
      <c r="F2" s="34"/>
      <c r="G2" s="34"/>
      <c r="H2" s="34"/>
      <c r="I2" s="34"/>
      <c r="J2" s="34"/>
    </row>
    <row r="3" spans="1:16" s="35" customFormat="1" ht="20.149999999999999" customHeight="1" x14ac:dyDescent="0.35">
      <c r="A3" s="445" t="s">
        <v>325</v>
      </c>
      <c r="B3" s="445"/>
      <c r="C3" s="445"/>
      <c r="D3" s="445"/>
      <c r="E3" s="445"/>
      <c r="F3" s="445"/>
      <c r="G3" s="445"/>
      <c r="H3" s="445"/>
      <c r="I3" s="445"/>
      <c r="J3" s="445"/>
      <c r="K3"/>
      <c r="L3"/>
      <c r="M3"/>
      <c r="N3"/>
      <c r="O3"/>
      <c r="P3"/>
    </row>
    <row r="4" spans="1:16" s="35" customFormat="1" ht="12" customHeight="1" x14ac:dyDescent="0.35">
      <c r="A4" s="447" t="s">
        <v>120</v>
      </c>
      <c r="B4" s="447"/>
      <c r="C4" s="447"/>
      <c r="D4" s="447"/>
      <c r="E4" s="447"/>
      <c r="F4" s="447"/>
      <c r="G4" s="447"/>
      <c r="H4" s="447"/>
      <c r="I4" s="447"/>
      <c r="J4" s="447"/>
      <c r="K4"/>
      <c r="L4"/>
      <c r="M4"/>
      <c r="N4"/>
      <c r="O4"/>
      <c r="P4"/>
    </row>
    <row r="5" spans="1:16" s="35" customFormat="1" ht="12" customHeight="1" x14ac:dyDescent="0.35">
      <c r="A5" s="447" t="s">
        <v>42</v>
      </c>
      <c r="B5" s="447"/>
      <c r="C5" s="447"/>
      <c r="D5" s="447"/>
      <c r="E5" s="165"/>
      <c r="F5" s="165"/>
      <c r="G5" s="165"/>
      <c r="H5" s="165"/>
      <c r="I5" s="165"/>
      <c r="J5" s="165"/>
      <c r="K5"/>
      <c r="L5"/>
      <c r="M5"/>
      <c r="N5"/>
      <c r="O5"/>
      <c r="P5"/>
    </row>
    <row r="6" spans="1:16" s="35" customFormat="1" ht="11.25" customHeight="1" x14ac:dyDescent="0.35">
      <c r="A6" s="145"/>
      <c r="B6" s="146"/>
      <c r="C6" s="146"/>
      <c r="D6" s="146"/>
      <c r="E6" s="146"/>
      <c r="F6" s="146"/>
      <c r="G6" s="146"/>
      <c r="H6" s="146"/>
      <c r="I6" s="146"/>
      <c r="J6" s="146"/>
      <c r="K6"/>
      <c r="L6"/>
      <c r="M6"/>
      <c r="N6"/>
      <c r="O6"/>
      <c r="P6"/>
    </row>
    <row r="7" spans="1:16" customFormat="1" ht="12" customHeight="1" x14ac:dyDescent="0.25">
      <c r="A7" s="450" t="s">
        <v>326</v>
      </c>
      <c r="B7" s="451"/>
      <c r="C7" s="456" t="s">
        <v>174</v>
      </c>
      <c r="D7" s="459" t="s">
        <v>327</v>
      </c>
      <c r="E7" s="460"/>
      <c r="F7" s="460"/>
      <c r="G7" s="460"/>
      <c r="H7" s="461"/>
      <c r="I7" s="462" t="s">
        <v>176</v>
      </c>
      <c r="J7" s="463"/>
    </row>
    <row r="8" spans="1:16" ht="21.75" customHeight="1" x14ac:dyDescent="0.25">
      <c r="A8" s="452"/>
      <c r="B8" s="453"/>
      <c r="C8" s="457"/>
      <c r="D8" s="438" t="s">
        <v>91</v>
      </c>
      <c r="E8" s="438" t="s">
        <v>92</v>
      </c>
      <c r="F8" s="438" t="s">
        <v>93</v>
      </c>
      <c r="G8" s="438" t="s">
        <v>94</v>
      </c>
      <c r="H8" s="438" t="s">
        <v>95</v>
      </c>
      <c r="I8" s="464"/>
      <c r="J8" s="465"/>
      <c r="K8"/>
      <c r="L8"/>
      <c r="M8"/>
      <c r="N8"/>
      <c r="O8"/>
      <c r="P8"/>
    </row>
    <row r="9" spans="1:16" ht="12" customHeight="1" x14ac:dyDescent="0.25">
      <c r="A9" s="452"/>
      <c r="B9" s="453"/>
      <c r="C9" s="457"/>
      <c r="D9" s="439"/>
      <c r="E9" s="439"/>
      <c r="F9" s="439"/>
      <c r="G9" s="439"/>
      <c r="H9" s="439"/>
      <c r="I9" s="38" t="s">
        <v>96</v>
      </c>
      <c r="J9" s="39" t="s">
        <v>97</v>
      </c>
      <c r="K9"/>
      <c r="L9"/>
      <c r="M9"/>
      <c r="N9"/>
      <c r="O9"/>
      <c r="P9"/>
    </row>
    <row r="10" spans="1:16" ht="12" customHeight="1" x14ac:dyDescent="0.25">
      <c r="A10" s="454"/>
      <c r="B10" s="455"/>
      <c r="C10" s="458"/>
      <c r="D10" s="40">
        <v>1</v>
      </c>
      <c r="E10" s="40">
        <v>2</v>
      </c>
      <c r="F10" s="40">
        <v>3</v>
      </c>
      <c r="G10" s="40">
        <v>4</v>
      </c>
      <c r="H10" s="40">
        <v>5</v>
      </c>
      <c r="I10" s="40">
        <v>6</v>
      </c>
      <c r="J10" s="40">
        <v>7</v>
      </c>
      <c r="K10"/>
      <c r="L10"/>
      <c r="M10"/>
      <c r="N10"/>
      <c r="O10"/>
      <c r="P10"/>
    </row>
    <row r="11" spans="1:16" ht="18" customHeight="1" x14ac:dyDescent="0.25">
      <c r="A11" s="42" t="s">
        <v>7</v>
      </c>
      <c r="B11" s="43"/>
      <c r="C11" s="44"/>
      <c r="D11" s="226"/>
      <c r="H11" s="227"/>
      <c r="I11" s="228"/>
      <c r="J11" s="229"/>
      <c r="K11"/>
      <c r="L11"/>
      <c r="M11"/>
      <c r="N11"/>
      <c r="O11"/>
      <c r="P11"/>
    </row>
    <row r="12" spans="1:16" ht="17.149999999999999" customHeight="1" x14ac:dyDescent="0.25">
      <c r="A12" s="50" t="s">
        <v>98</v>
      </c>
      <c r="B12" s="51"/>
      <c r="C12" s="52">
        <v>100</v>
      </c>
      <c r="D12" s="54">
        <v>11635</v>
      </c>
      <c r="E12" s="53">
        <v>11201</v>
      </c>
      <c r="F12" s="53">
        <v>11370</v>
      </c>
      <c r="G12" s="53">
        <v>11401</v>
      </c>
      <c r="H12" s="79">
        <v>11352</v>
      </c>
      <c r="I12" s="54">
        <v>283</v>
      </c>
      <c r="J12" s="55">
        <v>2.4929527836504581</v>
      </c>
      <c r="K12"/>
      <c r="L12"/>
      <c r="M12"/>
      <c r="N12"/>
      <c r="O12"/>
      <c r="P12"/>
    </row>
    <row r="13" spans="1:16" ht="14.5" customHeight="1" x14ac:dyDescent="0.25">
      <c r="A13" s="59" t="s">
        <v>99</v>
      </c>
      <c r="B13" s="58" t="s">
        <v>100</v>
      </c>
      <c r="C13" s="52">
        <v>43.824666953158577</v>
      </c>
      <c r="D13" s="54">
        <v>5099</v>
      </c>
      <c r="E13" s="53">
        <v>4899</v>
      </c>
      <c r="F13" s="53">
        <v>4922</v>
      </c>
      <c r="G13" s="53">
        <v>4931</v>
      </c>
      <c r="H13" s="79">
        <v>4926</v>
      </c>
      <c r="I13" s="54">
        <v>173</v>
      </c>
      <c r="J13" s="55">
        <v>3.511977263499797</v>
      </c>
      <c r="K13"/>
      <c r="L13"/>
      <c r="M13"/>
      <c r="N13"/>
      <c r="O13"/>
      <c r="P13"/>
    </row>
    <row r="14" spans="1:16" ht="14.5" customHeight="1" x14ac:dyDescent="0.25">
      <c r="A14" s="59"/>
      <c r="B14" s="58" t="s">
        <v>101</v>
      </c>
      <c r="C14" s="52">
        <v>56.175333046841423</v>
      </c>
      <c r="D14" s="54">
        <v>6536</v>
      </c>
      <c r="E14" s="53">
        <v>6302</v>
      </c>
      <c r="F14" s="53">
        <v>6448</v>
      </c>
      <c r="G14" s="53">
        <v>6470</v>
      </c>
      <c r="H14" s="79">
        <v>6426</v>
      </c>
      <c r="I14" s="54">
        <v>110</v>
      </c>
      <c r="J14" s="55">
        <v>1.7117958294428883</v>
      </c>
      <c r="K14"/>
      <c r="L14"/>
      <c r="M14"/>
      <c r="N14"/>
      <c r="O14"/>
      <c r="P14"/>
    </row>
    <row r="15" spans="1:16" ht="14.5" customHeight="1" x14ac:dyDescent="0.25">
      <c r="A15" s="57" t="s">
        <v>99</v>
      </c>
      <c r="B15" s="60" t="s">
        <v>102</v>
      </c>
      <c r="C15" s="52">
        <v>14.937688010313709</v>
      </c>
      <c r="D15" s="54">
        <v>1738</v>
      </c>
      <c r="E15" s="53">
        <v>1471</v>
      </c>
      <c r="F15" s="53">
        <v>1483</v>
      </c>
      <c r="G15" s="53">
        <v>1532</v>
      </c>
      <c r="H15" s="79">
        <v>1608</v>
      </c>
      <c r="I15" s="54">
        <v>130</v>
      </c>
      <c r="J15" s="55">
        <v>8.0845771144278604</v>
      </c>
      <c r="K15"/>
      <c r="L15"/>
      <c r="M15"/>
      <c r="N15"/>
      <c r="O15"/>
      <c r="P15"/>
    </row>
    <row r="16" spans="1:16" ht="14.5" customHeight="1" x14ac:dyDescent="0.25">
      <c r="A16" s="57"/>
      <c r="B16" s="60" t="s">
        <v>103</v>
      </c>
      <c r="C16" s="52">
        <v>36.106574989256551</v>
      </c>
      <c r="D16" s="54">
        <v>4201</v>
      </c>
      <c r="E16" s="53">
        <v>4139</v>
      </c>
      <c r="F16" s="53">
        <v>4214</v>
      </c>
      <c r="G16" s="53">
        <v>4175</v>
      </c>
      <c r="H16" s="79">
        <v>4107</v>
      </c>
      <c r="I16" s="54">
        <v>94</v>
      </c>
      <c r="J16" s="55">
        <v>2.2887752617482349</v>
      </c>
      <c r="K16"/>
      <c r="L16"/>
      <c r="M16"/>
      <c r="N16"/>
      <c r="O16"/>
      <c r="P16"/>
    </row>
    <row r="17" spans="1:16" ht="14.5" customHeight="1" x14ac:dyDescent="0.25">
      <c r="A17" s="57"/>
      <c r="B17" s="60" t="s">
        <v>104</v>
      </c>
      <c r="C17" s="52">
        <v>20.232058444348947</v>
      </c>
      <c r="D17" s="54">
        <v>2354</v>
      </c>
      <c r="E17" s="53">
        <v>2364</v>
      </c>
      <c r="F17" s="53">
        <v>2391</v>
      </c>
      <c r="G17" s="53">
        <v>2418</v>
      </c>
      <c r="H17" s="79">
        <v>2437</v>
      </c>
      <c r="I17" s="54">
        <v>-83</v>
      </c>
      <c r="J17" s="55">
        <v>-3.4058268362741075</v>
      </c>
      <c r="K17"/>
      <c r="L17"/>
      <c r="M17"/>
      <c r="N17"/>
      <c r="O17"/>
      <c r="P17"/>
    </row>
    <row r="18" spans="1:16" ht="14.5" customHeight="1" x14ac:dyDescent="0.25">
      <c r="A18" s="59"/>
      <c r="B18" s="60" t="s">
        <v>105</v>
      </c>
      <c r="C18" s="52">
        <v>28.723678556080792</v>
      </c>
      <c r="D18" s="54">
        <v>3342</v>
      </c>
      <c r="E18" s="53">
        <v>3227</v>
      </c>
      <c r="F18" s="53">
        <v>3282</v>
      </c>
      <c r="G18" s="53">
        <v>3276</v>
      </c>
      <c r="H18" s="79">
        <v>3200</v>
      </c>
      <c r="I18" s="54">
        <v>142</v>
      </c>
      <c r="J18" s="55">
        <v>4.4375</v>
      </c>
      <c r="K18"/>
      <c r="L18"/>
      <c r="M18"/>
      <c r="N18"/>
      <c r="O18"/>
      <c r="P18"/>
    </row>
    <row r="19" spans="1:16" ht="14.5" customHeight="1" x14ac:dyDescent="0.25">
      <c r="A19" s="59"/>
      <c r="B19" s="60" t="s">
        <v>106</v>
      </c>
      <c r="C19" s="52">
        <v>4.9505801461108723</v>
      </c>
      <c r="D19" s="54">
        <v>576</v>
      </c>
      <c r="E19" s="53">
        <v>540</v>
      </c>
      <c r="F19" s="53">
        <v>500</v>
      </c>
      <c r="G19" s="53">
        <v>481</v>
      </c>
      <c r="H19" s="79">
        <v>464</v>
      </c>
      <c r="I19" s="54">
        <v>112</v>
      </c>
      <c r="J19" s="55">
        <v>24.137931034482758</v>
      </c>
      <c r="K19"/>
      <c r="L19"/>
      <c r="M19"/>
      <c r="N19"/>
      <c r="O19"/>
      <c r="P19"/>
    </row>
    <row r="20" spans="1:16" ht="14.5" customHeight="1" x14ac:dyDescent="0.25">
      <c r="A20" s="59" t="s">
        <v>107</v>
      </c>
      <c r="B20" s="58" t="s">
        <v>110</v>
      </c>
      <c r="C20" s="52">
        <v>90.588740868070474</v>
      </c>
      <c r="D20" s="54">
        <v>10540</v>
      </c>
      <c r="E20" s="53">
        <v>10189</v>
      </c>
      <c r="F20" s="53">
        <v>10354</v>
      </c>
      <c r="G20" s="53">
        <v>10345</v>
      </c>
      <c r="H20" s="79">
        <v>10328</v>
      </c>
      <c r="I20" s="54">
        <v>212</v>
      </c>
      <c r="J20" s="55">
        <v>2.0526723470178156</v>
      </c>
      <c r="K20"/>
      <c r="L20"/>
      <c r="M20"/>
      <c r="N20"/>
      <c r="O20"/>
      <c r="P20"/>
    </row>
    <row r="21" spans="1:16" ht="14.5" customHeight="1" x14ac:dyDescent="0.25">
      <c r="A21" s="62"/>
      <c r="B21" s="63" t="s">
        <v>111</v>
      </c>
      <c r="C21" s="64">
        <v>9.4112591319295227</v>
      </c>
      <c r="D21" s="82">
        <v>1095</v>
      </c>
      <c r="E21" s="83">
        <v>1012</v>
      </c>
      <c r="F21" s="83">
        <v>1016</v>
      </c>
      <c r="G21" s="83">
        <v>1056</v>
      </c>
      <c r="H21" s="84">
        <v>1024</v>
      </c>
      <c r="I21" s="82">
        <v>71</v>
      </c>
      <c r="J21" s="85">
        <v>6.93359375</v>
      </c>
      <c r="K21"/>
      <c r="L21"/>
      <c r="M21"/>
      <c r="N21"/>
      <c r="O21"/>
      <c r="P21"/>
    </row>
    <row r="22" spans="1:16" ht="18" customHeight="1" x14ac:dyDescent="0.25">
      <c r="A22" s="65" t="s">
        <v>123</v>
      </c>
      <c r="B22" s="43"/>
      <c r="C22" s="44"/>
      <c r="D22" s="153"/>
      <c r="E22" s="154"/>
      <c r="F22" s="154"/>
      <c r="G22" s="154"/>
      <c r="H22" s="159"/>
      <c r="I22" s="228"/>
      <c r="J22" s="229"/>
      <c r="K22"/>
      <c r="L22"/>
      <c r="M22"/>
      <c r="N22"/>
      <c r="O22"/>
      <c r="P22"/>
    </row>
    <row r="23" spans="1:16" ht="17.149999999999999" customHeight="1" x14ac:dyDescent="0.25">
      <c r="A23" s="50" t="s">
        <v>98</v>
      </c>
      <c r="B23" s="51"/>
      <c r="C23" s="52">
        <v>100</v>
      </c>
      <c r="D23" s="54">
        <v>233735</v>
      </c>
      <c r="E23" s="53">
        <v>228375</v>
      </c>
      <c r="F23" s="53">
        <v>232335</v>
      </c>
      <c r="G23" s="53">
        <v>231546</v>
      </c>
      <c r="H23" s="79">
        <v>231714</v>
      </c>
      <c r="I23" s="54">
        <v>2021</v>
      </c>
      <c r="J23" s="55">
        <v>0.87219589666571717</v>
      </c>
      <c r="K23"/>
      <c r="L23"/>
      <c r="M23"/>
      <c r="N23"/>
      <c r="O23"/>
      <c r="P23"/>
    </row>
    <row r="24" spans="1:16" ht="14.5" customHeight="1" x14ac:dyDescent="0.25">
      <c r="A24" s="59" t="s">
        <v>99</v>
      </c>
      <c r="B24" s="58" t="s">
        <v>100</v>
      </c>
      <c r="C24" s="52">
        <v>46.285750957280683</v>
      </c>
      <c r="D24" s="54">
        <v>108186</v>
      </c>
      <c r="E24" s="53">
        <v>105692</v>
      </c>
      <c r="F24" s="53">
        <v>106960</v>
      </c>
      <c r="G24" s="53">
        <v>106661</v>
      </c>
      <c r="H24" s="79">
        <v>106660</v>
      </c>
      <c r="I24" s="54">
        <v>1526</v>
      </c>
      <c r="J24" s="55">
        <v>1.4307144196512283</v>
      </c>
      <c r="K24"/>
      <c r="L24"/>
      <c r="M24"/>
      <c r="N24"/>
      <c r="O24"/>
      <c r="P24"/>
    </row>
    <row r="25" spans="1:16" ht="14.5" customHeight="1" x14ac:dyDescent="0.25">
      <c r="A25" s="59"/>
      <c r="B25" s="58" t="s">
        <v>101</v>
      </c>
      <c r="C25" s="52">
        <v>53.714249042719317</v>
      </c>
      <c r="D25" s="54">
        <v>125549</v>
      </c>
      <c r="E25" s="53">
        <v>122683</v>
      </c>
      <c r="F25" s="53">
        <v>125375</v>
      </c>
      <c r="G25" s="53">
        <v>124885</v>
      </c>
      <c r="H25" s="79">
        <v>125054</v>
      </c>
      <c r="I25" s="54">
        <v>495</v>
      </c>
      <c r="J25" s="55">
        <v>0.39582900187119163</v>
      </c>
      <c r="K25"/>
      <c r="L25"/>
      <c r="M25"/>
      <c r="N25"/>
      <c r="O25"/>
      <c r="P25"/>
    </row>
    <row r="26" spans="1:16" ht="14.5" customHeight="1" x14ac:dyDescent="0.25">
      <c r="A26" s="57" t="s">
        <v>99</v>
      </c>
      <c r="B26" s="60" t="s">
        <v>102</v>
      </c>
      <c r="C26" s="52">
        <v>20.495860696943119</v>
      </c>
      <c r="D26" s="54">
        <v>47906</v>
      </c>
      <c r="E26" s="53">
        <v>44850</v>
      </c>
      <c r="F26" s="53">
        <v>46449</v>
      </c>
      <c r="G26" s="53">
        <v>46178</v>
      </c>
      <c r="H26" s="79">
        <v>47624</v>
      </c>
      <c r="I26" s="54">
        <v>282</v>
      </c>
      <c r="J26" s="55">
        <v>0.59213841760456909</v>
      </c>
      <c r="K26"/>
      <c r="L26"/>
      <c r="M26"/>
      <c r="N26"/>
      <c r="O26"/>
      <c r="P26"/>
    </row>
    <row r="27" spans="1:16" ht="14.5" customHeight="1" x14ac:dyDescent="0.25">
      <c r="A27" s="57"/>
      <c r="B27" s="60" t="s">
        <v>103</v>
      </c>
      <c r="C27" s="52">
        <v>40.060752561661708</v>
      </c>
      <c r="D27" s="54">
        <v>93636</v>
      </c>
      <c r="E27" s="53">
        <v>92507</v>
      </c>
      <c r="F27" s="53">
        <v>93611</v>
      </c>
      <c r="G27" s="53">
        <v>92814</v>
      </c>
      <c r="H27" s="79">
        <v>92085</v>
      </c>
      <c r="I27" s="54">
        <v>1551</v>
      </c>
      <c r="J27" s="55">
        <v>1.6843134060921974</v>
      </c>
      <c r="K27"/>
      <c r="L27"/>
      <c r="M27"/>
      <c r="N27"/>
      <c r="O27"/>
      <c r="P27"/>
    </row>
    <row r="28" spans="1:16" ht="14.5" customHeight="1" x14ac:dyDescent="0.25">
      <c r="A28" s="57"/>
      <c r="B28" s="60" t="s">
        <v>104</v>
      </c>
      <c r="C28" s="52">
        <v>15.144073416475923</v>
      </c>
      <c r="D28" s="54">
        <v>35397</v>
      </c>
      <c r="E28" s="53">
        <v>35322</v>
      </c>
      <c r="F28" s="53">
        <v>35727</v>
      </c>
      <c r="G28" s="53">
        <v>36134</v>
      </c>
      <c r="H28" s="79">
        <v>36213</v>
      </c>
      <c r="I28" s="54">
        <v>-816</v>
      </c>
      <c r="J28" s="55">
        <v>-2.2533344379090381</v>
      </c>
      <c r="K28"/>
      <c r="L28"/>
      <c r="M28"/>
      <c r="N28"/>
      <c r="O28"/>
      <c r="P28"/>
    </row>
    <row r="29" spans="1:16" ht="14.5" customHeight="1" x14ac:dyDescent="0.25">
      <c r="A29" s="57"/>
      <c r="B29" s="60" t="s">
        <v>105</v>
      </c>
      <c r="C29" s="52">
        <v>24.298885489977966</v>
      </c>
      <c r="D29" s="54">
        <v>56795</v>
      </c>
      <c r="E29" s="53">
        <v>55695</v>
      </c>
      <c r="F29" s="53">
        <v>56548</v>
      </c>
      <c r="G29" s="53">
        <v>56420</v>
      </c>
      <c r="H29" s="79">
        <v>55792</v>
      </c>
      <c r="I29" s="54">
        <v>1003</v>
      </c>
      <c r="J29" s="55">
        <v>1.797748781187267</v>
      </c>
      <c r="K29"/>
      <c r="L29"/>
      <c r="M29"/>
      <c r="N29"/>
      <c r="O29"/>
      <c r="P29"/>
    </row>
    <row r="30" spans="1:16" ht="14.5" customHeight="1" x14ac:dyDescent="0.25">
      <c r="A30" s="59"/>
      <c r="B30" s="60" t="s">
        <v>106</v>
      </c>
      <c r="C30" s="52">
        <v>3.6712516311207137</v>
      </c>
      <c r="D30" s="54">
        <v>8581</v>
      </c>
      <c r="E30" s="53">
        <v>8581</v>
      </c>
      <c r="F30" s="53">
        <v>7529</v>
      </c>
      <c r="G30" s="53">
        <v>7625</v>
      </c>
      <c r="H30" s="79">
        <v>7344</v>
      </c>
      <c r="I30" s="54">
        <v>1237</v>
      </c>
      <c r="J30" s="55">
        <v>16.843681917211327</v>
      </c>
      <c r="K30"/>
      <c r="L30"/>
      <c r="M30"/>
      <c r="N30"/>
      <c r="O30"/>
      <c r="P30"/>
    </row>
    <row r="31" spans="1:16" ht="14.5" customHeight="1" x14ac:dyDescent="0.25">
      <c r="A31" s="59" t="s">
        <v>107</v>
      </c>
      <c r="B31" s="58" t="s">
        <v>110</v>
      </c>
      <c r="C31" s="52">
        <v>90.796842578133351</v>
      </c>
      <c r="D31" s="54">
        <v>212224</v>
      </c>
      <c r="E31" s="53">
        <v>207776</v>
      </c>
      <c r="F31" s="53">
        <v>211988</v>
      </c>
      <c r="G31" s="53">
        <v>211464</v>
      </c>
      <c r="H31" s="79">
        <v>211858</v>
      </c>
      <c r="I31" s="54">
        <v>366</v>
      </c>
      <c r="J31" s="55">
        <v>0.17275722417845915</v>
      </c>
      <c r="K31"/>
      <c r="L31"/>
      <c r="M31"/>
      <c r="N31"/>
      <c r="O31"/>
      <c r="P31"/>
    </row>
    <row r="32" spans="1:16" ht="14.5" customHeight="1" x14ac:dyDescent="0.25">
      <c r="A32" s="62"/>
      <c r="B32" s="63" t="s">
        <v>111</v>
      </c>
      <c r="C32" s="64">
        <v>9.2031574218666439</v>
      </c>
      <c r="D32" s="82">
        <v>21511</v>
      </c>
      <c r="E32" s="83">
        <v>20599</v>
      </c>
      <c r="F32" s="83">
        <v>20347</v>
      </c>
      <c r="G32" s="83">
        <v>20082</v>
      </c>
      <c r="H32" s="84">
        <v>19856</v>
      </c>
      <c r="I32" s="82">
        <v>1655</v>
      </c>
      <c r="J32" s="85">
        <v>8.3350120870265911</v>
      </c>
      <c r="K32"/>
      <c r="L32"/>
      <c r="M32"/>
      <c r="N32"/>
      <c r="O32"/>
      <c r="P32"/>
    </row>
    <row r="33" spans="1:16" ht="18" customHeight="1" x14ac:dyDescent="0.25">
      <c r="A33" s="65" t="s">
        <v>124</v>
      </c>
      <c r="B33" s="43"/>
      <c r="C33" s="44"/>
      <c r="D33" s="153"/>
      <c r="E33" s="154"/>
      <c r="F33" s="154"/>
      <c r="G33" s="154"/>
      <c r="H33" s="159"/>
      <c r="I33" s="228"/>
      <c r="J33" s="229"/>
      <c r="K33"/>
      <c r="L33"/>
      <c r="M33"/>
      <c r="N33"/>
      <c r="O33"/>
      <c r="P33"/>
    </row>
    <row r="34" spans="1:16" ht="17.149999999999999" customHeight="1" x14ac:dyDescent="0.25">
      <c r="A34" s="50" t="s">
        <v>98</v>
      </c>
      <c r="B34" s="51"/>
      <c r="C34" s="52">
        <v>100</v>
      </c>
      <c r="D34" s="54">
        <v>917029</v>
      </c>
      <c r="E34" s="53">
        <v>892571</v>
      </c>
      <c r="F34" s="53">
        <v>904804</v>
      </c>
      <c r="G34" s="53">
        <v>905616</v>
      </c>
      <c r="H34" s="79">
        <v>907133</v>
      </c>
      <c r="I34" s="54">
        <v>9896</v>
      </c>
      <c r="J34" s="55">
        <v>1.0909094917724302</v>
      </c>
      <c r="K34"/>
      <c r="L34"/>
      <c r="M34"/>
      <c r="N34"/>
      <c r="O34"/>
      <c r="P34"/>
    </row>
    <row r="35" spans="1:16" ht="14.5" customHeight="1" x14ac:dyDescent="0.25">
      <c r="A35" s="59" t="s">
        <v>99</v>
      </c>
      <c r="B35" s="58" t="s">
        <v>100</v>
      </c>
      <c r="C35" s="52">
        <v>46.651305465803155</v>
      </c>
      <c r="D35" s="54">
        <v>427806</v>
      </c>
      <c r="E35" s="53">
        <v>416387</v>
      </c>
      <c r="F35" s="53">
        <v>421126</v>
      </c>
      <c r="G35" s="53">
        <v>422159</v>
      </c>
      <c r="H35" s="79">
        <v>421734</v>
      </c>
      <c r="I35" s="54">
        <v>6072</v>
      </c>
      <c r="J35" s="55">
        <v>1.4397700920485423</v>
      </c>
      <c r="K35"/>
      <c r="L35"/>
      <c r="M35"/>
      <c r="N35"/>
      <c r="O35"/>
      <c r="P35"/>
    </row>
    <row r="36" spans="1:16" ht="14.5" customHeight="1" x14ac:dyDescent="0.25">
      <c r="A36" s="59"/>
      <c r="B36" s="58" t="s">
        <v>101</v>
      </c>
      <c r="C36" s="52">
        <v>53.348694534196845</v>
      </c>
      <c r="D36" s="54">
        <v>489223</v>
      </c>
      <c r="E36" s="53">
        <v>476184</v>
      </c>
      <c r="F36" s="53">
        <v>483678</v>
      </c>
      <c r="G36" s="53">
        <v>483457</v>
      </c>
      <c r="H36" s="79">
        <v>485399</v>
      </c>
      <c r="I36" s="54">
        <v>3824</v>
      </c>
      <c r="J36" s="55">
        <v>0.78780549609702533</v>
      </c>
      <c r="K36"/>
      <c r="L36"/>
      <c r="M36"/>
      <c r="N36"/>
      <c r="O36"/>
      <c r="P36"/>
    </row>
    <row r="37" spans="1:16" ht="14.5" customHeight="1" x14ac:dyDescent="0.25">
      <c r="A37" s="57" t="s">
        <v>99</v>
      </c>
      <c r="B37" s="60" t="s">
        <v>102</v>
      </c>
      <c r="C37" s="52">
        <v>19.922815963290148</v>
      </c>
      <c r="D37" s="54">
        <v>182698</v>
      </c>
      <c r="E37" s="53">
        <v>170893</v>
      </c>
      <c r="F37" s="53">
        <v>175014</v>
      </c>
      <c r="G37" s="53">
        <v>175725</v>
      </c>
      <c r="H37" s="79">
        <v>181096</v>
      </c>
      <c r="I37" s="54">
        <v>1602</v>
      </c>
      <c r="J37" s="55">
        <v>0.88461368555904052</v>
      </c>
      <c r="K37"/>
      <c r="L37"/>
      <c r="M37"/>
      <c r="N37"/>
      <c r="O37"/>
      <c r="P37"/>
    </row>
    <row r="38" spans="1:16" ht="14.5" customHeight="1" x14ac:dyDescent="0.25">
      <c r="A38" s="57"/>
      <c r="B38" s="60" t="s">
        <v>103</v>
      </c>
      <c r="C38" s="52">
        <v>42.363218611407056</v>
      </c>
      <c r="D38" s="54">
        <v>388483</v>
      </c>
      <c r="E38" s="53">
        <v>381218</v>
      </c>
      <c r="F38" s="53">
        <v>385658</v>
      </c>
      <c r="G38" s="53">
        <v>384067</v>
      </c>
      <c r="H38" s="79">
        <v>382578</v>
      </c>
      <c r="I38" s="54">
        <v>5905</v>
      </c>
      <c r="J38" s="55">
        <v>1.5434761016054241</v>
      </c>
      <c r="K38"/>
      <c r="L38"/>
      <c r="M38"/>
      <c r="N38"/>
      <c r="O38"/>
      <c r="P38"/>
    </row>
    <row r="39" spans="1:16" ht="14.5" customHeight="1" x14ac:dyDescent="0.25">
      <c r="A39" s="57"/>
      <c r="B39" s="60" t="s">
        <v>104</v>
      </c>
      <c r="C39" s="52">
        <v>15.660137247567961</v>
      </c>
      <c r="D39" s="54">
        <v>143608</v>
      </c>
      <c r="E39" s="53">
        <v>143322</v>
      </c>
      <c r="F39" s="53">
        <v>144890</v>
      </c>
      <c r="G39" s="53">
        <v>146631</v>
      </c>
      <c r="H39" s="79">
        <v>147264</v>
      </c>
      <c r="I39" s="54">
        <v>-3656</v>
      </c>
      <c r="J39" s="55">
        <v>-2.4826162538026946</v>
      </c>
      <c r="K39"/>
      <c r="L39"/>
      <c r="M39"/>
      <c r="N39"/>
      <c r="O39"/>
      <c r="P39"/>
    </row>
    <row r="40" spans="1:16" ht="14.5" customHeight="1" x14ac:dyDescent="0.25">
      <c r="A40" s="59"/>
      <c r="B40" s="60" t="s">
        <v>105</v>
      </c>
      <c r="C40" s="52">
        <v>22.053610082123903</v>
      </c>
      <c r="D40" s="54">
        <v>202238</v>
      </c>
      <c r="E40" s="53">
        <v>197136</v>
      </c>
      <c r="F40" s="53">
        <v>199240</v>
      </c>
      <c r="G40" s="53">
        <v>199191</v>
      </c>
      <c r="H40" s="79">
        <v>196193</v>
      </c>
      <c r="I40" s="54">
        <v>6045</v>
      </c>
      <c r="J40" s="55">
        <v>3.0811496842394988</v>
      </c>
      <c r="K40"/>
      <c r="L40"/>
      <c r="M40"/>
      <c r="N40"/>
      <c r="O40"/>
      <c r="P40"/>
    </row>
    <row r="41" spans="1:16" ht="14.5" customHeight="1" x14ac:dyDescent="0.25">
      <c r="A41" s="59"/>
      <c r="B41" s="60" t="s">
        <v>106</v>
      </c>
      <c r="C41" s="52">
        <v>3.4025096261950276</v>
      </c>
      <c r="D41" s="54">
        <v>31202</v>
      </c>
      <c r="E41" s="53">
        <v>30860</v>
      </c>
      <c r="F41" s="53">
        <v>26739</v>
      </c>
      <c r="G41" s="53">
        <v>27074</v>
      </c>
      <c r="H41" s="79">
        <v>26155</v>
      </c>
      <c r="I41" s="54">
        <v>5047</v>
      </c>
      <c r="J41" s="55">
        <v>19.296501624928311</v>
      </c>
      <c r="K41"/>
      <c r="L41"/>
      <c r="M41"/>
      <c r="N41"/>
      <c r="O41"/>
      <c r="P41"/>
    </row>
    <row r="42" spans="1:16" ht="14.5" customHeight="1" x14ac:dyDescent="0.25">
      <c r="A42" s="59" t="s">
        <v>107</v>
      </c>
      <c r="B42" s="58" t="s">
        <v>110</v>
      </c>
      <c r="C42" s="52">
        <v>87.619475501865267</v>
      </c>
      <c r="D42" s="54">
        <v>803496</v>
      </c>
      <c r="E42" s="53">
        <v>783394</v>
      </c>
      <c r="F42" s="53">
        <v>795003</v>
      </c>
      <c r="G42" s="53">
        <v>796951</v>
      </c>
      <c r="H42" s="79">
        <v>798956</v>
      </c>
      <c r="I42" s="54">
        <v>4540</v>
      </c>
      <c r="J42" s="55">
        <v>0.56824155522957465</v>
      </c>
      <c r="K42"/>
      <c r="L42"/>
      <c r="M42"/>
      <c r="N42"/>
      <c r="O42"/>
      <c r="P42"/>
    </row>
    <row r="43" spans="1:16" ht="14.5" customHeight="1" x14ac:dyDescent="0.25">
      <c r="A43" s="62"/>
      <c r="B43" s="63" t="s">
        <v>111</v>
      </c>
      <c r="C43" s="64">
        <v>12.380524498134736</v>
      </c>
      <c r="D43" s="82">
        <v>113533</v>
      </c>
      <c r="E43" s="83">
        <v>109176</v>
      </c>
      <c r="F43" s="83">
        <v>109800</v>
      </c>
      <c r="G43" s="83">
        <v>108663</v>
      </c>
      <c r="H43" s="84">
        <v>108175</v>
      </c>
      <c r="I43" s="82">
        <v>5358</v>
      </c>
      <c r="J43" s="85">
        <v>4.9530852784839379</v>
      </c>
      <c r="K43"/>
      <c r="L43"/>
      <c r="M43"/>
      <c r="N43"/>
      <c r="O43"/>
      <c r="P43"/>
    </row>
    <row r="44" spans="1:16" ht="18" customHeight="1" x14ac:dyDescent="0.25">
      <c r="A44" s="65" t="s">
        <v>125</v>
      </c>
      <c r="B44" s="43"/>
      <c r="C44" s="44"/>
      <c r="D44" s="153"/>
      <c r="E44" s="154"/>
      <c r="F44" s="154"/>
      <c r="G44" s="154"/>
      <c r="H44" s="159"/>
      <c r="I44" s="228"/>
      <c r="J44" s="229"/>
      <c r="K44"/>
      <c r="L44"/>
      <c r="M44"/>
      <c r="N44"/>
      <c r="O44"/>
      <c r="P44"/>
    </row>
    <row r="45" spans="1:16" ht="17.149999999999999" customHeight="1" x14ac:dyDescent="0.25">
      <c r="A45" s="50" t="s">
        <v>98</v>
      </c>
      <c r="B45" s="51"/>
      <c r="C45" s="52">
        <v>100</v>
      </c>
      <c r="D45" s="54">
        <v>7672578</v>
      </c>
      <c r="E45" s="53">
        <v>7545137</v>
      </c>
      <c r="F45" s="53">
        <v>7627821</v>
      </c>
      <c r="G45" s="53">
        <v>7643204</v>
      </c>
      <c r="H45" s="79">
        <v>7683297</v>
      </c>
      <c r="I45" s="54">
        <v>-10719</v>
      </c>
      <c r="J45" s="55">
        <v>-0.13951042111218662</v>
      </c>
      <c r="K45"/>
      <c r="L45"/>
      <c r="M45"/>
      <c r="N45"/>
      <c r="O45"/>
      <c r="P45"/>
    </row>
    <row r="46" spans="1:16" ht="14.5" customHeight="1" x14ac:dyDescent="0.25">
      <c r="A46" s="59" t="s">
        <v>99</v>
      </c>
      <c r="B46" s="58" t="s">
        <v>100</v>
      </c>
      <c r="C46" s="52">
        <v>44.075667917615178</v>
      </c>
      <c r="D46" s="54">
        <v>3381740</v>
      </c>
      <c r="E46" s="53">
        <v>3319405</v>
      </c>
      <c r="F46" s="53">
        <v>3351195</v>
      </c>
      <c r="G46" s="53">
        <v>3354048</v>
      </c>
      <c r="H46" s="79">
        <v>3354425</v>
      </c>
      <c r="I46" s="54">
        <v>27315</v>
      </c>
      <c r="J46" s="55">
        <v>0.81429753236396696</v>
      </c>
      <c r="K46"/>
      <c r="L46"/>
      <c r="M46"/>
      <c r="N46"/>
      <c r="O46"/>
      <c r="P46"/>
    </row>
    <row r="47" spans="1:16" ht="14.5" customHeight="1" x14ac:dyDescent="0.25">
      <c r="A47" s="59"/>
      <c r="B47" s="58" t="s">
        <v>101</v>
      </c>
      <c r="C47" s="52">
        <v>55.924332082384822</v>
      </c>
      <c r="D47" s="54">
        <v>4290838</v>
      </c>
      <c r="E47" s="53">
        <v>4225732</v>
      </c>
      <c r="F47" s="53">
        <v>4276626</v>
      </c>
      <c r="G47" s="53">
        <v>4289156</v>
      </c>
      <c r="H47" s="79">
        <v>4328872</v>
      </c>
      <c r="I47" s="54">
        <v>-38034</v>
      </c>
      <c r="J47" s="55">
        <v>-0.87861225741948479</v>
      </c>
      <c r="K47"/>
      <c r="L47"/>
      <c r="M47"/>
      <c r="N47"/>
      <c r="O47"/>
      <c r="P47"/>
    </row>
    <row r="48" spans="1:16" ht="14.5" customHeight="1" x14ac:dyDescent="0.25">
      <c r="A48" s="57" t="s">
        <v>99</v>
      </c>
      <c r="B48" s="60" t="s">
        <v>102</v>
      </c>
      <c r="C48" s="52">
        <v>19.310354355472175</v>
      </c>
      <c r="D48" s="54">
        <v>1481602</v>
      </c>
      <c r="E48" s="53">
        <v>1415845</v>
      </c>
      <c r="F48" s="53">
        <v>1443326</v>
      </c>
      <c r="G48" s="53">
        <v>1444333</v>
      </c>
      <c r="H48" s="79">
        <v>1493292</v>
      </c>
      <c r="I48" s="54">
        <v>-11690</v>
      </c>
      <c r="J48" s="55">
        <v>-0.78283416773142833</v>
      </c>
      <c r="K48"/>
      <c r="L48"/>
      <c r="M48"/>
      <c r="N48"/>
      <c r="O48"/>
      <c r="P48"/>
    </row>
    <row r="49" spans="1:16" ht="14.5" customHeight="1" x14ac:dyDescent="0.25">
      <c r="A49" s="57"/>
      <c r="B49" s="60" t="s">
        <v>103</v>
      </c>
      <c r="C49" s="52">
        <v>46.601468241834752</v>
      </c>
      <c r="D49" s="54">
        <v>3575534</v>
      </c>
      <c r="E49" s="53">
        <v>3538800</v>
      </c>
      <c r="F49" s="53">
        <v>3577794</v>
      </c>
      <c r="G49" s="53">
        <v>3588364</v>
      </c>
      <c r="H49" s="79">
        <v>3594098</v>
      </c>
      <c r="I49" s="54">
        <v>-18564</v>
      </c>
      <c r="J49" s="55">
        <v>-0.51651346179208246</v>
      </c>
      <c r="K49"/>
      <c r="L49"/>
      <c r="M49"/>
      <c r="N49"/>
      <c r="O49"/>
      <c r="P49"/>
    </row>
    <row r="50" spans="1:16" ht="14.5" customHeight="1" x14ac:dyDescent="0.25">
      <c r="A50" s="57"/>
      <c r="B50" s="60" t="s">
        <v>104</v>
      </c>
      <c r="C50" s="52">
        <v>17.001026252193199</v>
      </c>
      <c r="D50" s="54">
        <v>1304417</v>
      </c>
      <c r="E50" s="53">
        <v>1303459</v>
      </c>
      <c r="F50" s="53">
        <v>1316651</v>
      </c>
      <c r="G50" s="53">
        <v>1327206</v>
      </c>
      <c r="H50" s="79">
        <v>1327718</v>
      </c>
      <c r="I50" s="54">
        <v>-23301</v>
      </c>
      <c r="J50" s="55">
        <v>-1.75496603947525</v>
      </c>
      <c r="K50"/>
      <c r="L50"/>
      <c r="M50"/>
      <c r="N50"/>
      <c r="O50"/>
      <c r="P50"/>
    </row>
    <row r="51" spans="1:16" ht="14.5" customHeight="1" x14ac:dyDescent="0.25">
      <c r="A51" s="59"/>
      <c r="B51" s="60" t="s">
        <v>105</v>
      </c>
      <c r="C51" s="52">
        <v>17.086903515350382</v>
      </c>
      <c r="D51" s="54">
        <v>1311006</v>
      </c>
      <c r="E51" s="53">
        <v>1287022</v>
      </c>
      <c r="F51" s="53">
        <v>1290041</v>
      </c>
      <c r="G51" s="53">
        <v>1283291</v>
      </c>
      <c r="H51" s="79">
        <v>1268177</v>
      </c>
      <c r="I51" s="54">
        <v>42829</v>
      </c>
      <c r="J51" s="55">
        <v>3.3772099635934101</v>
      </c>
      <c r="K51"/>
      <c r="L51"/>
      <c r="M51"/>
      <c r="N51"/>
      <c r="O51"/>
      <c r="P51"/>
    </row>
    <row r="52" spans="1:16" ht="14.5" customHeight="1" x14ac:dyDescent="0.25">
      <c r="A52" s="59"/>
      <c r="B52" s="60" t="s">
        <v>106</v>
      </c>
      <c r="C52" s="52">
        <v>2.5429392832500368</v>
      </c>
      <c r="D52" s="54">
        <v>195109</v>
      </c>
      <c r="E52" s="53">
        <v>194181</v>
      </c>
      <c r="F52" s="53">
        <v>166580</v>
      </c>
      <c r="G52" s="53">
        <v>168240</v>
      </c>
      <c r="H52" s="79">
        <v>164304</v>
      </c>
      <c r="I52" s="54">
        <v>30805</v>
      </c>
      <c r="J52" s="55">
        <v>18.748782744181518</v>
      </c>
      <c r="K52"/>
      <c r="L52"/>
      <c r="M52"/>
      <c r="N52"/>
      <c r="O52"/>
      <c r="P52"/>
    </row>
    <row r="53" spans="1:16" ht="14.5" customHeight="1" x14ac:dyDescent="0.25">
      <c r="A53" s="59" t="s">
        <v>107</v>
      </c>
      <c r="B53" s="58" t="s">
        <v>110</v>
      </c>
      <c r="C53" s="52">
        <v>82.980205610161278</v>
      </c>
      <c r="D53" s="54">
        <v>6366721</v>
      </c>
      <c r="E53" s="53">
        <v>6269193</v>
      </c>
      <c r="F53" s="53">
        <v>6349915</v>
      </c>
      <c r="G53" s="53">
        <v>6369548</v>
      </c>
      <c r="H53" s="79">
        <v>6411857</v>
      </c>
      <c r="I53" s="54">
        <v>-45136</v>
      </c>
      <c r="J53" s="55">
        <v>-0.70394583035772629</v>
      </c>
      <c r="K53"/>
      <c r="L53"/>
      <c r="M53"/>
      <c r="N53"/>
      <c r="O53"/>
      <c r="P53"/>
    </row>
    <row r="54" spans="1:16" ht="14.5" customHeight="1" x14ac:dyDescent="0.25">
      <c r="A54" s="62"/>
      <c r="B54" s="63" t="s">
        <v>111</v>
      </c>
      <c r="C54" s="64">
        <v>17.019755289551959</v>
      </c>
      <c r="D54" s="82">
        <v>1305854</v>
      </c>
      <c r="E54" s="83">
        <v>1275939</v>
      </c>
      <c r="F54" s="83">
        <v>1277899</v>
      </c>
      <c r="G54" s="83">
        <v>1273648</v>
      </c>
      <c r="H54" s="84">
        <v>1271433</v>
      </c>
      <c r="I54" s="82">
        <v>34421</v>
      </c>
      <c r="J54" s="85">
        <v>2.7072602331385136</v>
      </c>
      <c r="K54"/>
      <c r="L54"/>
      <c r="M54"/>
      <c r="N54"/>
      <c r="O54"/>
      <c r="P54"/>
    </row>
    <row r="55" spans="1:16" ht="18" customHeight="1" x14ac:dyDescent="0.25">
      <c r="A55" s="42" t="s">
        <v>179</v>
      </c>
      <c r="B55" s="43"/>
      <c r="C55" s="66"/>
      <c r="D55" s="54"/>
      <c r="E55" s="53"/>
      <c r="F55" s="53"/>
      <c r="G55" s="53"/>
      <c r="H55" s="79"/>
      <c r="I55" s="76"/>
      <c r="J55" s="77"/>
      <c r="K55"/>
      <c r="L55"/>
      <c r="M55"/>
      <c r="N55"/>
      <c r="O55"/>
      <c r="P55"/>
    </row>
    <row r="56" spans="1:16" ht="17.149999999999999" customHeight="1" x14ac:dyDescent="0.25">
      <c r="A56" s="50" t="s">
        <v>98</v>
      </c>
      <c r="B56" s="51"/>
      <c r="C56" s="52">
        <v>100</v>
      </c>
      <c r="D56" s="54">
        <v>12568</v>
      </c>
      <c r="E56" s="53">
        <v>12192</v>
      </c>
      <c r="F56" s="53">
        <v>12476</v>
      </c>
      <c r="G56" s="53">
        <v>12485</v>
      </c>
      <c r="H56" s="79">
        <v>12422</v>
      </c>
      <c r="I56" s="54">
        <v>146</v>
      </c>
      <c r="J56" s="55">
        <v>1.1753340846884559</v>
      </c>
      <c r="K56"/>
      <c r="L56"/>
      <c r="M56"/>
      <c r="N56"/>
      <c r="O56"/>
      <c r="P56"/>
    </row>
    <row r="57" spans="1:16" ht="14.5" customHeight="1" x14ac:dyDescent="0.25">
      <c r="A57" s="59" t="s">
        <v>99</v>
      </c>
      <c r="B57" s="58" t="s">
        <v>100</v>
      </c>
      <c r="C57" s="52">
        <v>45.464672183322726</v>
      </c>
      <c r="D57" s="54">
        <v>5714</v>
      </c>
      <c r="E57" s="53">
        <v>5524</v>
      </c>
      <c r="F57" s="53">
        <v>5595</v>
      </c>
      <c r="G57" s="53">
        <v>5610</v>
      </c>
      <c r="H57" s="79">
        <v>5596</v>
      </c>
      <c r="I57" s="54">
        <v>118</v>
      </c>
      <c r="J57" s="55">
        <v>2.1086490350250178</v>
      </c>
      <c r="K57"/>
      <c r="L57"/>
      <c r="M57"/>
      <c r="N57"/>
      <c r="O57"/>
      <c r="P57"/>
    </row>
    <row r="58" spans="1:16" ht="14.5" customHeight="1" x14ac:dyDescent="0.25">
      <c r="A58" s="59"/>
      <c r="B58" s="58" t="s">
        <v>101</v>
      </c>
      <c r="C58" s="52">
        <v>54.535327816677274</v>
      </c>
      <c r="D58" s="54">
        <v>6854</v>
      </c>
      <c r="E58" s="53">
        <v>6668</v>
      </c>
      <c r="F58" s="53">
        <v>6881</v>
      </c>
      <c r="G58" s="53">
        <v>6875</v>
      </c>
      <c r="H58" s="79">
        <v>6826</v>
      </c>
      <c r="I58" s="54">
        <v>28</v>
      </c>
      <c r="J58" s="55">
        <v>0.41019630823322589</v>
      </c>
      <c r="K58"/>
      <c r="L58"/>
      <c r="M58"/>
      <c r="N58"/>
      <c r="O58"/>
      <c r="P58"/>
    </row>
    <row r="59" spans="1:16" ht="14.5" customHeight="1" x14ac:dyDescent="0.25">
      <c r="A59" s="57" t="s">
        <v>99</v>
      </c>
      <c r="B59" s="60" t="s">
        <v>102</v>
      </c>
      <c r="C59" s="52">
        <v>14.528962444302993</v>
      </c>
      <c r="D59" s="54">
        <v>1826</v>
      </c>
      <c r="E59" s="53">
        <v>1585</v>
      </c>
      <c r="F59" s="53">
        <v>1615</v>
      </c>
      <c r="G59" s="53">
        <v>1638</v>
      </c>
      <c r="H59" s="79">
        <v>1697</v>
      </c>
      <c r="I59" s="54">
        <v>129</v>
      </c>
      <c r="J59" s="55">
        <v>7.6016499705362408</v>
      </c>
      <c r="K59"/>
      <c r="L59"/>
      <c r="M59"/>
      <c r="N59"/>
      <c r="O59"/>
      <c r="P59"/>
    </row>
    <row r="60" spans="1:16" ht="14.5" customHeight="1" x14ac:dyDescent="0.25">
      <c r="A60" s="57"/>
      <c r="B60" s="60" t="s">
        <v>103</v>
      </c>
      <c r="C60" s="52">
        <v>35.956397199236157</v>
      </c>
      <c r="D60" s="54">
        <v>4519</v>
      </c>
      <c r="E60" s="53">
        <v>4462</v>
      </c>
      <c r="F60" s="53">
        <v>4618</v>
      </c>
      <c r="G60" s="53">
        <v>4555</v>
      </c>
      <c r="H60" s="79">
        <v>4487</v>
      </c>
      <c r="I60" s="54">
        <v>32</v>
      </c>
      <c r="J60" s="55">
        <v>0.71317138399821711</v>
      </c>
      <c r="K60"/>
      <c r="L60"/>
      <c r="M60"/>
      <c r="N60"/>
      <c r="O60"/>
      <c r="P60"/>
    </row>
    <row r="61" spans="1:16" ht="14.5" customHeight="1" x14ac:dyDescent="0.25">
      <c r="A61" s="57"/>
      <c r="B61" s="60" t="s">
        <v>104</v>
      </c>
      <c r="C61" s="52">
        <v>20.71928707829408</v>
      </c>
      <c r="D61" s="54">
        <v>2604</v>
      </c>
      <c r="E61" s="53">
        <v>2630</v>
      </c>
      <c r="F61" s="53">
        <v>2664</v>
      </c>
      <c r="G61" s="53">
        <v>2708</v>
      </c>
      <c r="H61" s="79">
        <v>2725</v>
      </c>
      <c r="I61" s="54">
        <v>-121</v>
      </c>
      <c r="J61" s="55">
        <v>-4.4403669724770642</v>
      </c>
      <c r="K61"/>
      <c r="L61"/>
      <c r="M61"/>
      <c r="N61"/>
      <c r="O61"/>
      <c r="P61"/>
    </row>
    <row r="62" spans="1:16" ht="14.5" customHeight="1" x14ac:dyDescent="0.25">
      <c r="A62" s="59"/>
      <c r="B62" s="60" t="s">
        <v>105</v>
      </c>
      <c r="C62" s="52">
        <v>28.795353278166772</v>
      </c>
      <c r="D62" s="54">
        <v>3619</v>
      </c>
      <c r="E62" s="53">
        <v>3515</v>
      </c>
      <c r="F62" s="53">
        <v>3579</v>
      </c>
      <c r="G62" s="53">
        <v>3584</v>
      </c>
      <c r="H62" s="79">
        <v>3513</v>
      </c>
      <c r="I62" s="54">
        <v>106</v>
      </c>
      <c r="J62" s="55">
        <v>3.0173640762880729</v>
      </c>
      <c r="K62"/>
      <c r="L62"/>
      <c r="M62"/>
      <c r="N62"/>
      <c r="O62"/>
      <c r="P62"/>
    </row>
    <row r="63" spans="1:16" ht="14.5" customHeight="1" x14ac:dyDescent="0.25">
      <c r="A63" s="59"/>
      <c r="B63" s="60" t="s">
        <v>106</v>
      </c>
      <c r="C63" s="52">
        <v>4.9809038828771479</v>
      </c>
      <c r="D63" s="54">
        <v>626</v>
      </c>
      <c r="E63" s="53">
        <v>592</v>
      </c>
      <c r="F63" s="53">
        <v>545</v>
      </c>
      <c r="G63" s="53">
        <v>533</v>
      </c>
      <c r="H63" s="79">
        <v>509</v>
      </c>
      <c r="I63" s="54">
        <v>117</v>
      </c>
      <c r="J63" s="55">
        <v>22.986247544204321</v>
      </c>
      <c r="K63"/>
      <c r="L63"/>
      <c r="M63"/>
      <c r="N63"/>
      <c r="O63"/>
      <c r="P63"/>
    </row>
    <row r="64" spans="1:16" ht="14.5" customHeight="1" x14ac:dyDescent="0.25">
      <c r="A64" s="59" t="s">
        <v>107</v>
      </c>
      <c r="B64" s="58" t="s">
        <v>110</v>
      </c>
      <c r="C64" s="52">
        <v>93.936982813494595</v>
      </c>
      <c r="D64" s="54">
        <v>11806</v>
      </c>
      <c r="E64" s="53">
        <v>11468</v>
      </c>
      <c r="F64" s="53">
        <v>11745</v>
      </c>
      <c r="G64" s="53">
        <v>11776</v>
      </c>
      <c r="H64" s="79">
        <v>11713</v>
      </c>
      <c r="I64" s="54">
        <v>93</v>
      </c>
      <c r="J64" s="55">
        <v>0.79398958422265864</v>
      </c>
      <c r="K64"/>
      <c r="L64"/>
      <c r="M64"/>
      <c r="N64"/>
      <c r="O64"/>
      <c r="P64"/>
    </row>
    <row r="65" spans="1:16" ht="14.5" customHeight="1" x14ac:dyDescent="0.25">
      <c r="A65" s="62"/>
      <c r="B65" s="63" t="s">
        <v>111</v>
      </c>
      <c r="C65" s="64">
        <v>6.0630171865054105</v>
      </c>
      <c r="D65" s="82">
        <v>762</v>
      </c>
      <c r="E65" s="83">
        <v>724</v>
      </c>
      <c r="F65" s="83">
        <v>731</v>
      </c>
      <c r="G65" s="83">
        <v>709</v>
      </c>
      <c r="H65" s="84">
        <v>709</v>
      </c>
      <c r="I65" s="82">
        <v>53</v>
      </c>
      <c r="J65" s="85">
        <v>7.4753173483779971</v>
      </c>
      <c r="K65"/>
      <c r="L65"/>
      <c r="M65"/>
      <c r="N65"/>
      <c r="O65"/>
      <c r="P65"/>
    </row>
    <row r="66" spans="1:16" s="87" customFormat="1" ht="11.25" customHeight="1" x14ac:dyDescent="0.2">
      <c r="J66" s="88" t="s">
        <v>37</v>
      </c>
    </row>
    <row r="67" spans="1:16" s="87" customFormat="1" ht="12.75" customHeight="1" x14ac:dyDescent="0.2">
      <c r="A67" s="87" t="s">
        <v>116</v>
      </c>
      <c r="B67" s="86"/>
      <c r="C67" s="86"/>
      <c r="D67" s="89"/>
      <c r="E67" s="86"/>
      <c r="F67" s="86"/>
      <c r="G67" s="86"/>
      <c r="H67" s="86"/>
      <c r="I67" s="86"/>
      <c r="J67" s="86"/>
    </row>
    <row r="68" spans="1:16" s="60" customFormat="1" ht="21" customHeight="1" x14ac:dyDescent="0.2">
      <c r="A68" s="440" t="s">
        <v>180</v>
      </c>
      <c r="B68" s="441"/>
      <c r="C68" s="441"/>
      <c r="D68" s="441"/>
      <c r="E68" s="441"/>
      <c r="F68" s="441"/>
      <c r="G68" s="441"/>
      <c r="H68" s="441"/>
      <c r="I68" s="441"/>
      <c r="J68" s="441"/>
    </row>
    <row r="69" spans="1:16" s="60" customFormat="1" ht="12.75" customHeight="1" x14ac:dyDescent="0.2">
      <c r="A69" s="440"/>
      <c r="B69" s="441"/>
      <c r="C69" s="441"/>
      <c r="D69" s="441"/>
      <c r="E69" s="441"/>
      <c r="F69" s="441"/>
      <c r="G69" s="441"/>
      <c r="H69" s="441"/>
      <c r="I69" s="441"/>
      <c r="J69" s="441"/>
    </row>
    <row r="70" spans="1:16" s="60" customFormat="1" ht="12.75" customHeight="1" x14ac:dyDescent="0.2"/>
    <row r="71" spans="1:16" ht="12.75" customHeight="1" x14ac:dyDescent="0.2">
      <c r="C71" s="37"/>
      <c r="D71" s="37"/>
      <c r="E71" s="37"/>
      <c r="F71" s="37"/>
      <c r="G71" s="37"/>
      <c r="H71" s="37"/>
      <c r="I71" s="37"/>
      <c r="J71" s="37"/>
    </row>
    <row r="72" spans="1:16" ht="12.75" customHeight="1" x14ac:dyDescent="0.2">
      <c r="C72" s="37"/>
      <c r="D72" s="37"/>
      <c r="E72" s="37"/>
      <c r="F72" s="37"/>
      <c r="G72" s="37"/>
      <c r="H72" s="37"/>
      <c r="I72" s="37"/>
      <c r="J72" s="37"/>
    </row>
    <row r="73" spans="1:16" ht="16" customHeight="1" x14ac:dyDescent="0.2">
      <c r="C73" s="37"/>
      <c r="D73" s="37"/>
      <c r="E73" s="37"/>
      <c r="F73" s="37"/>
      <c r="G73" s="37"/>
      <c r="H73" s="37"/>
      <c r="I73" s="37"/>
      <c r="J73" s="37"/>
    </row>
    <row r="74" spans="1:16" ht="16" customHeight="1" x14ac:dyDescent="0.2">
      <c r="C74" s="37"/>
      <c r="D74" s="37"/>
      <c r="E74" s="37"/>
      <c r="F74" s="37"/>
      <c r="G74" s="37"/>
      <c r="H74" s="37"/>
      <c r="I74" s="37"/>
      <c r="J74" s="37"/>
    </row>
    <row r="75" spans="1:16" ht="16" customHeight="1" x14ac:dyDescent="0.2">
      <c r="C75" s="37"/>
      <c r="D75" s="37"/>
      <c r="E75" s="37"/>
      <c r="F75" s="37"/>
      <c r="G75" s="37"/>
      <c r="H75" s="37"/>
      <c r="I75" s="37"/>
      <c r="J75" s="37"/>
    </row>
    <row r="76" spans="1:16" ht="16" customHeight="1" x14ac:dyDescent="0.2">
      <c r="C76" s="37"/>
      <c r="D76" s="37"/>
      <c r="E76" s="37"/>
      <c r="F76" s="37"/>
      <c r="G76" s="37"/>
      <c r="H76" s="37"/>
      <c r="I76" s="37"/>
      <c r="J76" s="37"/>
    </row>
    <row r="77" spans="1:16" ht="16" customHeight="1" x14ac:dyDescent="0.2">
      <c r="C77" s="37"/>
      <c r="D77" s="37"/>
      <c r="E77" s="37"/>
      <c r="F77" s="37"/>
      <c r="G77" s="37"/>
      <c r="H77" s="37"/>
      <c r="I77" s="37"/>
      <c r="J77" s="37"/>
    </row>
    <row r="78" spans="1:16" ht="16" customHeight="1" x14ac:dyDescent="0.2">
      <c r="C78" s="37"/>
      <c r="D78" s="37"/>
      <c r="E78" s="37"/>
      <c r="F78" s="37"/>
      <c r="G78" s="37"/>
      <c r="H78" s="37"/>
      <c r="I78" s="37"/>
      <c r="J78" s="37"/>
    </row>
    <row r="79" spans="1:16" ht="16" customHeight="1" x14ac:dyDescent="0.2">
      <c r="C79" s="37"/>
      <c r="D79" s="37"/>
      <c r="E79" s="37"/>
      <c r="F79" s="37"/>
      <c r="G79" s="37"/>
      <c r="H79" s="37"/>
      <c r="I79" s="37"/>
      <c r="J79" s="37"/>
    </row>
    <row r="80" spans="1:16" ht="16" customHeight="1" x14ac:dyDescent="0.2">
      <c r="C80" s="37"/>
      <c r="D80" s="37"/>
      <c r="E80" s="37"/>
      <c r="F80" s="37"/>
      <c r="G80" s="37"/>
      <c r="H80" s="37"/>
      <c r="I80" s="37"/>
      <c r="J80" s="37"/>
    </row>
    <row r="81" s="37" customFormat="1" ht="16" customHeight="1" x14ac:dyDescent="0.2"/>
    <row r="82" s="37" customFormat="1" ht="16" customHeight="1" x14ac:dyDescent="0.2"/>
    <row r="83" s="37" customFormat="1" ht="16" customHeight="1" x14ac:dyDescent="0.2"/>
    <row r="84" s="37" customFormat="1" ht="16" customHeight="1" x14ac:dyDescent="0.2"/>
    <row r="85" s="37" customFormat="1" ht="16" customHeight="1" x14ac:dyDescent="0.2"/>
    <row r="86" s="37" customFormat="1" ht="16" customHeight="1" x14ac:dyDescent="0.2"/>
    <row r="87" s="37" customFormat="1" ht="16" customHeight="1" x14ac:dyDescent="0.2"/>
    <row r="88" s="37" customFormat="1" ht="16" customHeight="1" x14ac:dyDescent="0.2"/>
    <row r="89" s="37" customFormat="1" ht="16" customHeight="1" x14ac:dyDescent="0.2"/>
    <row r="90" s="37" customFormat="1" ht="16" customHeight="1" x14ac:dyDescent="0.2"/>
    <row r="91" s="37" customFormat="1" ht="16" customHeight="1" x14ac:dyDescent="0.2"/>
    <row r="92" s="37" customFormat="1" ht="16" customHeight="1" x14ac:dyDescent="0.2"/>
    <row r="93" s="37" customFormat="1" ht="16" customHeight="1" x14ac:dyDescent="0.2"/>
    <row r="94" s="37" customFormat="1" ht="16" customHeight="1" x14ac:dyDescent="0.2"/>
    <row r="95" s="37" customFormat="1" ht="16" customHeight="1" x14ac:dyDescent="0.2"/>
    <row r="96" s="37" customFormat="1" ht="16" customHeight="1" x14ac:dyDescent="0.2"/>
    <row r="97" s="37" customFormat="1" ht="16" customHeight="1" x14ac:dyDescent="0.2"/>
    <row r="98" s="37" customFormat="1" ht="16" customHeight="1" x14ac:dyDescent="0.2"/>
    <row r="99" s="37" customFormat="1" ht="16" customHeight="1" x14ac:dyDescent="0.2"/>
    <row r="100" s="37" customFormat="1" ht="16" customHeight="1" x14ac:dyDescent="0.2"/>
    <row r="101" s="37" customFormat="1" ht="16" customHeight="1" x14ac:dyDescent="0.2"/>
    <row r="102" s="37" customFormat="1" ht="16" customHeight="1" x14ac:dyDescent="0.2"/>
    <row r="103" s="37" customFormat="1" ht="16" customHeight="1" x14ac:dyDescent="0.2"/>
    <row r="104" s="37" customFormat="1" ht="16" customHeight="1" x14ac:dyDescent="0.2"/>
    <row r="105" s="37" customFormat="1" ht="16" customHeight="1" x14ac:dyDescent="0.2"/>
    <row r="106" s="37" customFormat="1" ht="16" customHeight="1" x14ac:dyDescent="0.2"/>
    <row r="107" s="37" customFormat="1" ht="16" customHeight="1" x14ac:dyDescent="0.2"/>
    <row r="108" s="37" customFormat="1" ht="16" customHeight="1" x14ac:dyDescent="0.2"/>
    <row r="109" s="37" customFormat="1" ht="16" customHeight="1" x14ac:dyDescent="0.2"/>
    <row r="110" s="37" customFormat="1" ht="16" customHeight="1" x14ac:dyDescent="0.2"/>
    <row r="111" s="37" customFormat="1" ht="16" customHeight="1" x14ac:dyDescent="0.2"/>
    <row r="112" s="37" customFormat="1" ht="16" customHeight="1" x14ac:dyDescent="0.2"/>
    <row r="113" s="37" customFormat="1" ht="16" customHeight="1" x14ac:dyDescent="0.2"/>
    <row r="114" s="37" customFormat="1" ht="16" customHeight="1" x14ac:dyDescent="0.2"/>
    <row r="115" s="37" customFormat="1" ht="16" customHeight="1" x14ac:dyDescent="0.2"/>
    <row r="116" s="37" customFormat="1" ht="16" customHeight="1" x14ac:dyDescent="0.2"/>
    <row r="117" s="37" customFormat="1" ht="16" customHeight="1" x14ac:dyDescent="0.2"/>
    <row r="118" s="37" customFormat="1" ht="16" customHeight="1" x14ac:dyDescent="0.2"/>
    <row r="119" s="37" customFormat="1" ht="16" customHeight="1" x14ac:dyDescent="0.2"/>
    <row r="120" s="37" customFormat="1" ht="16" customHeight="1" x14ac:dyDescent="0.2"/>
    <row r="121" s="37" customFormat="1" ht="16" customHeight="1" x14ac:dyDescent="0.2"/>
    <row r="122" s="37" customFormat="1" ht="16" customHeight="1" x14ac:dyDescent="0.2"/>
    <row r="123" s="37" customFormat="1" ht="16" customHeight="1" x14ac:dyDescent="0.2"/>
    <row r="124" s="37" customFormat="1" ht="16" customHeight="1" x14ac:dyDescent="0.2"/>
    <row r="125" s="37" customFormat="1" ht="16" customHeight="1" x14ac:dyDescent="0.2"/>
    <row r="126" s="37" customFormat="1" ht="16" customHeight="1" x14ac:dyDescent="0.2"/>
    <row r="127" s="37" customFormat="1" ht="16" customHeight="1" x14ac:dyDescent="0.2"/>
    <row r="128" s="37" customFormat="1" ht="16" customHeight="1" x14ac:dyDescent="0.2"/>
    <row r="129" s="37" customFormat="1" ht="16" customHeight="1" x14ac:dyDescent="0.2"/>
    <row r="130" s="37" customFormat="1" ht="16" customHeight="1" x14ac:dyDescent="0.2"/>
    <row r="131" s="37" customFormat="1" ht="16" customHeight="1" x14ac:dyDescent="0.2"/>
    <row r="132" s="37" customFormat="1" ht="16" customHeight="1" x14ac:dyDescent="0.2"/>
    <row r="133" s="37" customFormat="1" ht="16" customHeight="1" x14ac:dyDescent="0.2"/>
    <row r="134" s="37" customFormat="1" ht="16" customHeight="1" x14ac:dyDescent="0.2"/>
    <row r="135" s="37" customFormat="1" ht="16" customHeight="1" x14ac:dyDescent="0.2"/>
    <row r="136" s="37" customFormat="1" ht="16" customHeight="1" x14ac:dyDescent="0.2"/>
    <row r="137" s="37" customFormat="1" ht="16" customHeight="1" x14ac:dyDescent="0.2"/>
    <row r="138" s="37" customFormat="1" ht="16" customHeight="1" x14ac:dyDescent="0.2"/>
    <row r="139" s="37" customFormat="1" ht="16" customHeight="1" x14ac:dyDescent="0.2"/>
    <row r="140" s="37" customFormat="1" ht="16" customHeight="1" x14ac:dyDescent="0.2"/>
    <row r="141" s="37" customFormat="1" ht="16" customHeight="1" x14ac:dyDescent="0.2"/>
    <row r="142" s="37" customFormat="1" ht="16" customHeight="1" x14ac:dyDescent="0.2"/>
    <row r="143" s="37" customFormat="1" ht="16" customHeight="1" x14ac:dyDescent="0.2"/>
    <row r="144" s="37" customFormat="1" ht="16" customHeight="1" x14ac:dyDescent="0.2"/>
    <row r="145" s="37" customFormat="1" ht="16" customHeight="1" x14ac:dyDescent="0.2"/>
    <row r="146" s="37" customFormat="1" ht="16" customHeight="1" x14ac:dyDescent="0.2"/>
    <row r="147" s="37" customFormat="1" ht="16" customHeight="1" x14ac:dyDescent="0.2"/>
    <row r="148" s="37" customFormat="1" ht="16" customHeight="1" x14ac:dyDescent="0.2"/>
    <row r="149" s="37" customFormat="1" ht="16" customHeight="1" x14ac:dyDescent="0.2"/>
    <row r="150" s="37" customFormat="1" ht="16" customHeight="1" x14ac:dyDescent="0.2"/>
    <row r="151" s="37" customFormat="1" ht="16" customHeight="1" x14ac:dyDescent="0.2"/>
    <row r="152" s="37" customFormat="1" ht="16" customHeight="1" x14ac:dyDescent="0.2"/>
    <row r="153" s="37" customFormat="1" ht="16" customHeight="1" x14ac:dyDescent="0.2"/>
    <row r="154" s="37" customFormat="1" ht="16" customHeight="1" x14ac:dyDescent="0.2"/>
    <row r="155" s="37" customFormat="1" ht="16" customHeight="1" x14ac:dyDescent="0.2"/>
    <row r="156" s="37" customFormat="1" ht="16" customHeight="1" x14ac:dyDescent="0.2"/>
    <row r="157" s="37" customFormat="1" ht="16" customHeight="1" x14ac:dyDescent="0.2"/>
    <row r="158" s="37" customFormat="1" ht="16" customHeight="1" x14ac:dyDescent="0.2"/>
    <row r="159" s="37" customFormat="1" ht="16" customHeight="1" x14ac:dyDescent="0.2"/>
    <row r="160" s="37" customFormat="1" ht="16" customHeight="1" x14ac:dyDescent="0.2"/>
    <row r="161" s="37" customFormat="1" ht="16" customHeight="1" x14ac:dyDescent="0.2"/>
    <row r="162" s="37" customFormat="1" ht="16" customHeight="1" x14ac:dyDescent="0.2"/>
    <row r="163" s="37" customFormat="1" ht="16" customHeight="1" x14ac:dyDescent="0.2"/>
    <row r="164" s="37" customFormat="1" ht="16" customHeight="1" x14ac:dyDescent="0.2"/>
    <row r="165" s="37" customFormat="1" ht="16" customHeight="1" x14ac:dyDescent="0.2"/>
    <row r="166" s="37" customFormat="1" ht="16" customHeight="1" x14ac:dyDescent="0.2"/>
    <row r="167" s="37" customFormat="1" ht="16" customHeight="1" x14ac:dyDescent="0.2"/>
    <row r="168" s="37" customFormat="1" ht="16" customHeight="1" x14ac:dyDescent="0.2"/>
    <row r="169" s="37" customFormat="1" ht="16" customHeight="1" x14ac:dyDescent="0.2"/>
    <row r="170" s="37" customFormat="1" ht="16" customHeight="1" x14ac:dyDescent="0.2"/>
    <row r="171" s="37" customFormat="1" ht="16" customHeight="1" x14ac:dyDescent="0.2"/>
    <row r="172" s="37" customFormat="1" ht="16" customHeight="1" x14ac:dyDescent="0.2"/>
    <row r="173" s="37" customFormat="1" ht="16" customHeight="1" x14ac:dyDescent="0.2"/>
    <row r="174" s="37" customFormat="1" ht="16" customHeight="1" x14ac:dyDescent="0.2"/>
    <row r="175" s="37" customFormat="1" ht="16" customHeight="1" x14ac:dyDescent="0.2"/>
    <row r="176" s="37" customFormat="1" ht="16" customHeight="1" x14ac:dyDescent="0.2"/>
    <row r="177" s="37" customFormat="1" ht="16" customHeight="1" x14ac:dyDescent="0.2"/>
    <row r="178" s="37" customFormat="1" ht="16" customHeight="1" x14ac:dyDescent="0.2"/>
    <row r="179" s="37" customFormat="1" ht="16" customHeight="1" x14ac:dyDescent="0.2"/>
    <row r="180" s="37" customFormat="1" ht="16" customHeight="1" x14ac:dyDescent="0.2"/>
    <row r="181" s="37" customFormat="1" ht="16" customHeight="1" x14ac:dyDescent="0.2"/>
    <row r="182" s="37" customFormat="1" ht="16" customHeight="1" x14ac:dyDescent="0.2"/>
    <row r="183" s="37" customFormat="1" ht="16" customHeight="1" x14ac:dyDescent="0.2"/>
    <row r="184" s="37" customFormat="1" ht="16" customHeight="1" x14ac:dyDescent="0.2"/>
    <row r="185" s="37" customFormat="1" ht="16" customHeight="1" x14ac:dyDescent="0.2"/>
    <row r="186" s="37" customFormat="1" ht="16" customHeight="1" x14ac:dyDescent="0.2"/>
    <row r="187" s="37" customFormat="1" ht="16" customHeight="1" x14ac:dyDescent="0.2"/>
    <row r="188" s="37" customFormat="1" ht="16" customHeight="1" x14ac:dyDescent="0.2"/>
    <row r="189" s="37" customFormat="1" ht="16" customHeight="1" x14ac:dyDescent="0.2"/>
    <row r="190" s="37" customFormat="1" ht="16" customHeight="1" x14ac:dyDescent="0.2"/>
    <row r="191" s="37" customFormat="1" ht="16" customHeight="1" x14ac:dyDescent="0.2"/>
    <row r="192" s="37" customFormat="1" ht="16" customHeight="1" x14ac:dyDescent="0.2"/>
    <row r="193" s="37" customFormat="1" ht="16" customHeight="1" x14ac:dyDescent="0.2"/>
    <row r="194" s="37" customFormat="1" ht="16" customHeight="1" x14ac:dyDescent="0.2"/>
    <row r="195" s="37" customFormat="1" ht="16" customHeight="1" x14ac:dyDescent="0.2"/>
    <row r="196" s="37" customFormat="1" ht="16" customHeight="1" x14ac:dyDescent="0.2"/>
    <row r="197" s="37" customFormat="1" ht="16" customHeight="1" x14ac:dyDescent="0.2"/>
    <row r="198" s="37" customFormat="1" ht="16" customHeight="1" x14ac:dyDescent="0.2"/>
    <row r="199" s="37" customFormat="1" ht="16" customHeight="1" x14ac:dyDescent="0.2"/>
    <row r="200" s="37" customFormat="1" ht="16" customHeight="1" x14ac:dyDescent="0.2"/>
  </sheetData>
  <mergeCells count="14">
    <mergeCell ref="G8:G9"/>
    <mergeCell ref="H8:H9"/>
    <mergeCell ref="A68:J68"/>
    <mergeCell ref="A69:J69"/>
    <mergeCell ref="A3:J3"/>
    <mergeCell ref="A4:J4"/>
    <mergeCell ref="A5:D5"/>
    <mergeCell ref="A7:B10"/>
    <mergeCell ref="C7:C10"/>
    <mergeCell ref="D7:H7"/>
    <mergeCell ref="I7:J8"/>
    <mergeCell ref="D8:D9"/>
    <mergeCell ref="E8:E9"/>
    <mergeCell ref="F8:F9"/>
  </mergeCells>
  <printOptions horizontalCentered="1"/>
  <pageMargins left="0.7" right="0.7" top="0.75" bottom="0.75" header="0.3" footer="0.3"/>
  <pageSetup paperSize="9" scale="72"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A3C8D-6874-43A1-86A2-DDE317F6BACF}">
  <sheetPr codeName="Tabelle14">
    <pageSetUpPr fitToPage="1"/>
  </sheetPr>
  <dimension ref="A1:Q194"/>
  <sheetViews>
    <sheetView showGridLines="0" zoomScaleNormal="100" workbookViewId="0"/>
  </sheetViews>
  <sheetFormatPr defaultColWidth="8.81640625" defaultRowHeight="16" customHeight="1" x14ac:dyDescent="0.2"/>
  <cols>
    <col min="1" max="3" width="3.7265625" style="37" customWidth="1"/>
    <col min="4" max="4" width="25.81640625" style="37" customWidth="1"/>
    <col min="5" max="5" width="6.7265625" style="61" customWidth="1"/>
    <col min="6" max="11" width="9.7265625" style="90" customWidth="1"/>
    <col min="12" max="12" width="9.7265625" style="91" customWidth="1"/>
    <col min="13" max="13" width="9.7265625" style="37" customWidth="1"/>
    <col min="14" max="16384" width="8.81640625" style="37"/>
  </cols>
  <sheetData>
    <row r="1" spans="1:17" customFormat="1" ht="36.75" customHeight="1" x14ac:dyDescent="0.25">
      <c r="A1" s="30"/>
      <c r="B1" s="30"/>
      <c r="C1" s="30"/>
      <c r="D1" s="31"/>
      <c r="E1" s="161"/>
      <c r="F1" s="31"/>
      <c r="G1" s="31"/>
      <c r="H1" s="31"/>
      <c r="I1" s="31"/>
      <c r="J1" s="31"/>
      <c r="K1" s="31"/>
      <c r="L1" s="32" t="s">
        <v>40</v>
      </c>
    </row>
    <row r="2" spans="1:17" customFormat="1" ht="11.25" customHeight="1" x14ac:dyDescent="0.25">
      <c r="A2" s="33"/>
      <c r="B2" s="33"/>
      <c r="C2" s="33"/>
      <c r="D2" s="34"/>
      <c r="E2" s="163"/>
      <c r="F2" s="34"/>
      <c r="G2" s="34"/>
      <c r="H2" s="34"/>
      <c r="I2" s="34"/>
      <c r="J2" s="34"/>
      <c r="K2" s="34"/>
      <c r="L2" s="34"/>
    </row>
    <row r="3" spans="1:17" s="35" customFormat="1" ht="20.149999999999999" customHeight="1" x14ac:dyDescent="0.35">
      <c r="A3" s="445" t="s">
        <v>328</v>
      </c>
      <c r="B3" s="445"/>
      <c r="C3" s="445"/>
      <c r="D3" s="445"/>
      <c r="E3" s="445"/>
      <c r="F3" s="445"/>
      <c r="G3" s="445"/>
      <c r="H3" s="445"/>
      <c r="I3" s="445"/>
      <c r="J3" s="445"/>
      <c r="K3" s="445"/>
      <c r="L3" s="445"/>
    </row>
    <row r="4" spans="1:17" s="35" customFormat="1" ht="12" customHeight="1" x14ac:dyDescent="0.35">
      <c r="A4" s="446" t="s">
        <v>86</v>
      </c>
      <c r="B4" s="446"/>
      <c r="C4" s="446"/>
      <c r="D4" s="446"/>
      <c r="E4" s="446"/>
      <c r="F4" s="446"/>
      <c r="G4" s="446"/>
      <c r="H4" s="446"/>
      <c r="I4" s="446"/>
      <c r="J4" s="446"/>
      <c r="K4" s="446"/>
      <c r="L4" s="446"/>
    </row>
    <row r="5" spans="1:17" s="35" customFormat="1" ht="12" customHeight="1" x14ac:dyDescent="0.35">
      <c r="A5" s="447" t="s">
        <v>42</v>
      </c>
      <c r="B5" s="447"/>
      <c r="C5" s="447"/>
      <c r="D5" s="447"/>
      <c r="E5" s="447"/>
      <c r="F5" s="447"/>
      <c r="G5" s="165"/>
      <c r="H5" s="165"/>
      <c r="I5" s="165"/>
      <c r="J5" s="165"/>
      <c r="K5" s="165"/>
      <c r="L5" s="165"/>
    </row>
    <row r="6" spans="1:17" s="35" customFormat="1" ht="11.25" customHeight="1" x14ac:dyDescent="0.35">
      <c r="A6" s="145"/>
      <c r="B6" s="145"/>
      <c r="C6" s="145"/>
      <c r="D6" s="145"/>
      <c r="E6" s="145"/>
      <c r="F6" s="145"/>
      <c r="G6" s="145"/>
      <c r="H6" s="145"/>
      <c r="I6" s="145"/>
      <c r="J6" s="145"/>
      <c r="K6" s="145"/>
      <c r="L6" s="145"/>
    </row>
    <row r="7" spans="1:17" customFormat="1" ht="12" customHeight="1" x14ac:dyDescent="0.25">
      <c r="A7" s="450" t="s">
        <v>87</v>
      </c>
      <c r="B7" s="451"/>
      <c r="C7" s="451"/>
      <c r="D7" s="451"/>
      <c r="E7" s="456" t="s">
        <v>88</v>
      </c>
      <c r="F7" s="459" t="s">
        <v>327</v>
      </c>
      <c r="G7" s="460"/>
      <c r="H7" s="460"/>
      <c r="I7" s="460"/>
      <c r="J7" s="461"/>
      <c r="K7" s="462" t="s">
        <v>176</v>
      </c>
      <c r="L7" s="463"/>
      <c r="M7" s="37"/>
      <c r="N7" s="37"/>
      <c r="O7" s="37"/>
      <c r="P7" s="37"/>
      <c r="Q7" s="37"/>
    </row>
    <row r="8" spans="1:17" ht="21.75" customHeight="1" x14ac:dyDescent="0.2">
      <c r="A8" s="452"/>
      <c r="B8" s="453"/>
      <c r="C8" s="453"/>
      <c r="D8" s="453"/>
      <c r="E8" s="457"/>
      <c r="F8" s="438" t="s">
        <v>91</v>
      </c>
      <c r="G8" s="438" t="s">
        <v>92</v>
      </c>
      <c r="H8" s="438" t="s">
        <v>93</v>
      </c>
      <c r="I8" s="438" t="s">
        <v>94</v>
      </c>
      <c r="J8" s="438" t="s">
        <v>95</v>
      </c>
      <c r="K8" s="464"/>
      <c r="L8" s="465"/>
    </row>
    <row r="9" spans="1:17" ht="12" customHeight="1" x14ac:dyDescent="0.2">
      <c r="A9" s="452"/>
      <c r="B9" s="453"/>
      <c r="C9" s="453"/>
      <c r="D9" s="453"/>
      <c r="E9" s="457"/>
      <c r="F9" s="439"/>
      <c r="G9" s="439"/>
      <c r="H9" s="439"/>
      <c r="I9" s="439"/>
      <c r="J9" s="439"/>
      <c r="K9" s="38" t="s">
        <v>96</v>
      </c>
      <c r="L9" s="39" t="s">
        <v>97</v>
      </c>
    </row>
    <row r="10" spans="1:17" ht="12" customHeight="1" x14ac:dyDescent="0.2">
      <c r="A10" s="454"/>
      <c r="B10" s="455"/>
      <c r="C10" s="455"/>
      <c r="D10" s="455"/>
      <c r="E10" s="458"/>
      <c r="F10" s="40">
        <v>1</v>
      </c>
      <c r="G10" s="40">
        <v>2</v>
      </c>
      <c r="H10" s="40">
        <v>3</v>
      </c>
      <c r="I10" s="40">
        <v>4</v>
      </c>
      <c r="J10" s="40">
        <v>5</v>
      </c>
      <c r="K10" s="40">
        <v>6</v>
      </c>
      <c r="L10" s="40">
        <v>7</v>
      </c>
      <c r="M10" s="41"/>
    </row>
    <row r="11" spans="1:17" ht="18" customHeight="1" x14ac:dyDescent="0.2">
      <c r="A11" s="168" t="s">
        <v>98</v>
      </c>
      <c r="B11" s="169"/>
      <c r="C11" s="169"/>
      <c r="D11" s="170"/>
      <c r="E11" s="52">
        <v>100</v>
      </c>
      <c r="F11" s="54">
        <v>11635</v>
      </c>
      <c r="G11" s="53">
        <v>11201</v>
      </c>
      <c r="H11" s="53">
        <v>11370</v>
      </c>
      <c r="I11" s="53">
        <v>11401</v>
      </c>
      <c r="J11" s="79">
        <v>11352</v>
      </c>
      <c r="K11" s="53">
        <v>283</v>
      </c>
      <c r="L11" s="55">
        <v>2.4929527836504581</v>
      </c>
    </row>
    <row r="12" spans="1:17" ht="24" customHeight="1" x14ac:dyDescent="0.25">
      <c r="A12" s="477" t="s">
        <v>182</v>
      </c>
      <c r="B12" s="478"/>
      <c r="C12" s="478"/>
      <c r="D12" s="479"/>
      <c r="E12" s="52">
        <v>43.824666953158577</v>
      </c>
      <c r="F12" s="54">
        <v>5099</v>
      </c>
      <c r="G12" s="53">
        <v>4899</v>
      </c>
      <c r="H12" s="53">
        <v>4922</v>
      </c>
      <c r="I12" s="53">
        <v>4931</v>
      </c>
      <c r="J12" s="79">
        <v>4926</v>
      </c>
      <c r="K12" s="53">
        <v>173</v>
      </c>
      <c r="L12" s="55">
        <v>3.511977263499797</v>
      </c>
    </row>
    <row r="13" spans="1:17" ht="15" customHeight="1" x14ac:dyDescent="0.2">
      <c r="A13" s="59"/>
      <c r="B13" s="484" t="s">
        <v>101</v>
      </c>
      <c r="C13" s="484"/>
      <c r="E13" s="52">
        <v>56.175333046841423</v>
      </c>
      <c r="F13" s="54">
        <v>6536</v>
      </c>
      <c r="G13" s="53">
        <v>6302</v>
      </c>
      <c r="H13" s="53">
        <v>6448</v>
      </c>
      <c r="I13" s="53">
        <v>6470</v>
      </c>
      <c r="J13" s="79">
        <v>6426</v>
      </c>
      <c r="K13" s="53">
        <v>110</v>
      </c>
      <c r="L13" s="55">
        <v>1.7117958294428883</v>
      </c>
    </row>
    <row r="14" spans="1:17" ht="22.5" customHeight="1" x14ac:dyDescent="0.25">
      <c r="A14" s="477" t="s">
        <v>183</v>
      </c>
      <c r="B14" s="478"/>
      <c r="C14" s="478"/>
      <c r="D14" s="479"/>
      <c r="E14" s="52">
        <v>14.937688010313709</v>
      </c>
      <c r="F14" s="54">
        <v>1738</v>
      </c>
      <c r="G14" s="53">
        <v>1471</v>
      </c>
      <c r="H14" s="53">
        <v>1483</v>
      </c>
      <c r="I14" s="53">
        <v>1532</v>
      </c>
      <c r="J14" s="79">
        <v>1608</v>
      </c>
      <c r="K14" s="53">
        <v>130</v>
      </c>
      <c r="L14" s="55">
        <v>8.0845771144278604</v>
      </c>
    </row>
    <row r="15" spans="1:17" ht="15" customHeight="1" x14ac:dyDescent="0.2">
      <c r="A15" s="59"/>
      <c r="B15" s="58"/>
      <c r="C15" s="37" t="s">
        <v>100</v>
      </c>
      <c r="E15" s="52">
        <v>40.218642117376298</v>
      </c>
      <c r="F15" s="54">
        <v>699</v>
      </c>
      <c r="G15" s="53">
        <v>587</v>
      </c>
      <c r="H15" s="53">
        <v>573</v>
      </c>
      <c r="I15" s="53">
        <v>603</v>
      </c>
      <c r="J15" s="79">
        <v>650</v>
      </c>
      <c r="K15" s="53">
        <v>49</v>
      </c>
      <c r="L15" s="55">
        <v>7.5384615384615383</v>
      </c>
    </row>
    <row r="16" spans="1:17" ht="15" customHeight="1" x14ac:dyDescent="0.2">
      <c r="A16" s="59"/>
      <c r="B16" s="58"/>
      <c r="C16" s="37" t="s">
        <v>101</v>
      </c>
      <c r="E16" s="52">
        <v>59.781357882623702</v>
      </c>
      <c r="F16" s="54">
        <v>1039</v>
      </c>
      <c r="G16" s="53">
        <v>884</v>
      </c>
      <c r="H16" s="53">
        <v>910</v>
      </c>
      <c r="I16" s="53">
        <v>929</v>
      </c>
      <c r="J16" s="79">
        <v>958</v>
      </c>
      <c r="K16" s="53">
        <v>81</v>
      </c>
      <c r="L16" s="55">
        <v>8.4551148225469728</v>
      </c>
    </row>
    <row r="17" spans="1:12" ht="15" customHeight="1" x14ac:dyDescent="0.2">
      <c r="A17" s="59"/>
      <c r="B17" s="60" t="s">
        <v>103</v>
      </c>
      <c r="E17" s="52">
        <v>36.106574989256551</v>
      </c>
      <c r="F17" s="54">
        <v>4201</v>
      </c>
      <c r="G17" s="53">
        <v>4139</v>
      </c>
      <c r="H17" s="53">
        <v>4214</v>
      </c>
      <c r="I17" s="53">
        <v>4175</v>
      </c>
      <c r="J17" s="79">
        <v>4107</v>
      </c>
      <c r="K17" s="53">
        <v>94</v>
      </c>
      <c r="L17" s="55">
        <v>2.2887752617482349</v>
      </c>
    </row>
    <row r="18" spans="1:12" ht="15" customHeight="1" x14ac:dyDescent="0.2">
      <c r="A18" s="59"/>
      <c r="B18" s="58"/>
      <c r="C18" s="37" t="s">
        <v>100</v>
      </c>
      <c r="E18" s="52">
        <v>42.061413949059748</v>
      </c>
      <c r="F18" s="54">
        <v>1767</v>
      </c>
      <c r="G18" s="53">
        <v>1724</v>
      </c>
      <c r="H18" s="53">
        <v>1725</v>
      </c>
      <c r="I18" s="53">
        <v>1709</v>
      </c>
      <c r="J18" s="79">
        <v>1682</v>
      </c>
      <c r="K18" s="53">
        <v>85</v>
      </c>
      <c r="L18" s="55">
        <v>5.0535077288941732</v>
      </c>
    </row>
    <row r="19" spans="1:12" ht="15" customHeight="1" x14ac:dyDescent="0.2">
      <c r="A19" s="59"/>
      <c r="B19" s="58"/>
      <c r="C19" s="37" t="s">
        <v>101</v>
      </c>
      <c r="E19" s="52">
        <v>57.938586050940252</v>
      </c>
      <c r="F19" s="54">
        <v>2434</v>
      </c>
      <c r="G19" s="53">
        <v>2415</v>
      </c>
      <c r="H19" s="53">
        <v>2489</v>
      </c>
      <c r="I19" s="53">
        <v>2466</v>
      </c>
      <c r="J19" s="79">
        <v>2425</v>
      </c>
      <c r="K19" s="53">
        <v>9</v>
      </c>
      <c r="L19" s="55">
        <v>0.37113402061855671</v>
      </c>
    </row>
    <row r="20" spans="1:12" ht="15" customHeight="1" x14ac:dyDescent="0.2">
      <c r="A20" s="59"/>
      <c r="B20" s="60" t="s">
        <v>104</v>
      </c>
      <c r="E20" s="52">
        <v>20.232058444348947</v>
      </c>
      <c r="F20" s="54">
        <v>2354</v>
      </c>
      <c r="G20" s="53">
        <v>2364</v>
      </c>
      <c r="H20" s="53">
        <v>2391</v>
      </c>
      <c r="I20" s="53">
        <v>2418</v>
      </c>
      <c r="J20" s="79">
        <v>2437</v>
      </c>
      <c r="K20" s="53">
        <v>-83</v>
      </c>
      <c r="L20" s="55">
        <v>-3.4058268362741075</v>
      </c>
    </row>
    <row r="21" spans="1:12" ht="15" customHeight="1" x14ac:dyDescent="0.2">
      <c r="A21" s="59"/>
      <c r="B21" s="58"/>
      <c r="C21" s="37" t="s">
        <v>100</v>
      </c>
      <c r="E21" s="52">
        <v>38.105352591333897</v>
      </c>
      <c r="F21" s="54">
        <v>897</v>
      </c>
      <c r="G21" s="53">
        <v>914</v>
      </c>
      <c r="H21" s="53">
        <v>921</v>
      </c>
      <c r="I21" s="53">
        <v>924</v>
      </c>
      <c r="J21" s="79">
        <v>935</v>
      </c>
      <c r="K21" s="53">
        <v>-38</v>
      </c>
      <c r="L21" s="55">
        <v>-4.0641711229946527</v>
      </c>
    </row>
    <row r="22" spans="1:12" ht="15" customHeight="1" x14ac:dyDescent="0.2">
      <c r="A22" s="59"/>
      <c r="B22" s="58"/>
      <c r="C22" s="37" t="s">
        <v>101</v>
      </c>
      <c r="E22" s="52">
        <v>61.894647408666103</v>
      </c>
      <c r="F22" s="54">
        <v>1457</v>
      </c>
      <c r="G22" s="53">
        <v>1450</v>
      </c>
      <c r="H22" s="53">
        <v>1470</v>
      </c>
      <c r="I22" s="53">
        <v>1494</v>
      </c>
      <c r="J22" s="79">
        <v>1502</v>
      </c>
      <c r="K22" s="53">
        <v>-45</v>
      </c>
      <c r="L22" s="55">
        <v>-2.9960053262316912</v>
      </c>
    </row>
    <row r="23" spans="1:12" ht="15" customHeight="1" x14ac:dyDescent="0.2">
      <c r="A23" s="59"/>
      <c r="B23" s="60" t="s">
        <v>105</v>
      </c>
      <c r="E23" s="52">
        <v>28.723678556080792</v>
      </c>
      <c r="F23" s="54">
        <v>3342</v>
      </c>
      <c r="G23" s="53">
        <v>3227</v>
      </c>
      <c r="H23" s="53">
        <v>3282</v>
      </c>
      <c r="I23" s="53">
        <v>3276</v>
      </c>
      <c r="J23" s="79">
        <v>3200</v>
      </c>
      <c r="K23" s="53">
        <v>142</v>
      </c>
      <c r="L23" s="55">
        <v>4.4375</v>
      </c>
    </row>
    <row r="24" spans="1:12" ht="15" customHeight="1" x14ac:dyDescent="0.2">
      <c r="A24" s="59"/>
      <c r="B24" s="58"/>
      <c r="C24" s="37" t="s">
        <v>100</v>
      </c>
      <c r="E24" s="52">
        <v>51.944943147815678</v>
      </c>
      <c r="F24" s="54">
        <v>1736</v>
      </c>
      <c r="G24" s="53">
        <v>1674</v>
      </c>
      <c r="H24" s="53">
        <v>1703</v>
      </c>
      <c r="I24" s="53">
        <v>1695</v>
      </c>
      <c r="J24" s="79">
        <v>1659</v>
      </c>
      <c r="K24" s="53">
        <v>77</v>
      </c>
      <c r="L24" s="55">
        <v>4.6413502109704643</v>
      </c>
    </row>
    <row r="25" spans="1:12" ht="15" customHeight="1" x14ac:dyDescent="0.2">
      <c r="A25" s="59"/>
      <c r="B25" s="58"/>
      <c r="C25" s="37" t="s">
        <v>101</v>
      </c>
      <c r="E25" s="52">
        <v>48.055056852184322</v>
      </c>
      <c r="F25" s="54">
        <v>1606</v>
      </c>
      <c r="G25" s="53">
        <v>1553</v>
      </c>
      <c r="H25" s="53">
        <v>1579</v>
      </c>
      <c r="I25" s="53">
        <v>1581</v>
      </c>
      <c r="J25" s="79">
        <v>1541</v>
      </c>
      <c r="K25" s="53">
        <v>65</v>
      </c>
      <c r="L25" s="55">
        <v>4.2180402336145359</v>
      </c>
    </row>
    <row r="26" spans="1:12" ht="15" customHeight="1" x14ac:dyDescent="0.2">
      <c r="A26" s="59"/>
      <c r="C26" s="60" t="s">
        <v>184</v>
      </c>
      <c r="D26" s="37" t="s">
        <v>185</v>
      </c>
      <c r="E26" s="52">
        <v>4.9505801461108723</v>
      </c>
      <c r="F26" s="54">
        <v>576</v>
      </c>
      <c r="G26" s="53">
        <v>540</v>
      </c>
      <c r="H26" s="53">
        <v>500</v>
      </c>
      <c r="I26" s="53">
        <v>481</v>
      </c>
      <c r="J26" s="79">
        <v>464</v>
      </c>
      <c r="K26" s="53">
        <v>112</v>
      </c>
      <c r="L26" s="55">
        <v>24.137931034482758</v>
      </c>
    </row>
    <row r="27" spans="1:12" ht="15" customHeight="1" x14ac:dyDescent="0.2">
      <c r="A27" s="59"/>
      <c r="B27" s="58"/>
      <c r="D27" s="171" t="s">
        <v>100</v>
      </c>
      <c r="E27" s="52">
        <v>46.354166666666664</v>
      </c>
      <c r="F27" s="54">
        <v>267</v>
      </c>
      <c r="G27" s="53">
        <v>245</v>
      </c>
      <c r="H27" s="53">
        <v>229</v>
      </c>
      <c r="I27" s="53">
        <v>213</v>
      </c>
      <c r="J27" s="79">
        <v>208</v>
      </c>
      <c r="K27" s="53">
        <v>59</v>
      </c>
      <c r="L27" s="55">
        <v>28.365384615384617</v>
      </c>
    </row>
    <row r="28" spans="1:12" ht="15" customHeight="1" x14ac:dyDescent="0.2">
      <c r="A28" s="59"/>
      <c r="B28" s="58"/>
      <c r="D28" s="171" t="s">
        <v>101</v>
      </c>
      <c r="E28" s="52">
        <v>53.645833333333336</v>
      </c>
      <c r="F28" s="54">
        <v>309</v>
      </c>
      <c r="G28" s="53">
        <v>295</v>
      </c>
      <c r="H28" s="53">
        <v>271</v>
      </c>
      <c r="I28" s="53">
        <v>268</v>
      </c>
      <c r="J28" s="79">
        <v>256</v>
      </c>
      <c r="K28" s="53">
        <v>53</v>
      </c>
      <c r="L28" s="55">
        <v>20.703125</v>
      </c>
    </row>
    <row r="29" spans="1:12" ht="24" customHeight="1" x14ac:dyDescent="0.25">
      <c r="A29" s="477" t="s">
        <v>186</v>
      </c>
      <c r="B29" s="478"/>
      <c r="C29" s="478"/>
      <c r="D29" s="479"/>
      <c r="E29" s="52">
        <v>90.588740868070474</v>
      </c>
      <c r="F29" s="54">
        <v>10540</v>
      </c>
      <c r="G29" s="53">
        <v>10189</v>
      </c>
      <c r="H29" s="53">
        <v>10354</v>
      </c>
      <c r="I29" s="53">
        <v>10345</v>
      </c>
      <c r="J29" s="79">
        <v>10328</v>
      </c>
      <c r="K29" s="53">
        <v>212</v>
      </c>
      <c r="L29" s="55">
        <v>2.0526723470178156</v>
      </c>
    </row>
    <row r="30" spans="1:12" ht="15" customHeight="1" x14ac:dyDescent="0.2">
      <c r="A30" s="59"/>
      <c r="B30" s="58"/>
      <c r="C30" s="37" t="s">
        <v>100</v>
      </c>
      <c r="E30" s="52">
        <v>44.079696394686906</v>
      </c>
      <c r="F30" s="54">
        <v>4646</v>
      </c>
      <c r="G30" s="53">
        <v>4484</v>
      </c>
      <c r="H30" s="53">
        <v>4507</v>
      </c>
      <c r="I30" s="53">
        <v>4502</v>
      </c>
      <c r="J30" s="79">
        <v>4492</v>
      </c>
      <c r="K30" s="53">
        <v>154</v>
      </c>
      <c r="L30" s="55">
        <v>3.4283170080142478</v>
      </c>
    </row>
    <row r="31" spans="1:12" ht="15" customHeight="1" x14ac:dyDescent="0.2">
      <c r="A31" s="59"/>
      <c r="B31" s="58"/>
      <c r="C31" s="37" t="s">
        <v>101</v>
      </c>
      <c r="E31" s="52">
        <v>55.920303605313094</v>
      </c>
      <c r="F31" s="54">
        <v>5894</v>
      </c>
      <c r="G31" s="53">
        <v>5705</v>
      </c>
      <c r="H31" s="53">
        <v>5847</v>
      </c>
      <c r="I31" s="53">
        <v>5843</v>
      </c>
      <c r="J31" s="79">
        <v>5836</v>
      </c>
      <c r="K31" s="53">
        <v>58</v>
      </c>
      <c r="L31" s="55">
        <v>0.99383139136394794</v>
      </c>
    </row>
    <row r="32" spans="1:12" ht="15" customHeight="1" x14ac:dyDescent="0.2">
      <c r="A32" s="59"/>
      <c r="B32" s="58" t="s">
        <v>111</v>
      </c>
      <c r="E32" s="52">
        <v>9.4112591319295227</v>
      </c>
      <c r="F32" s="53">
        <v>1095</v>
      </c>
      <c r="G32" s="53">
        <v>1012</v>
      </c>
      <c r="H32" s="53">
        <v>1016</v>
      </c>
      <c r="I32" s="53">
        <v>1056</v>
      </c>
      <c r="J32" s="79">
        <v>1024</v>
      </c>
      <c r="K32" s="53">
        <v>71</v>
      </c>
      <c r="L32" s="55">
        <v>6.93359375</v>
      </c>
    </row>
    <row r="33" spans="1:12" ht="15" customHeight="1" x14ac:dyDescent="0.2">
      <c r="A33" s="59"/>
      <c r="B33" s="58"/>
      <c r="C33" s="37" t="s">
        <v>100</v>
      </c>
      <c r="E33" s="52">
        <v>41.369863013698627</v>
      </c>
      <c r="F33" s="53">
        <v>453</v>
      </c>
      <c r="G33" s="53">
        <v>415</v>
      </c>
      <c r="H33" s="53">
        <v>415</v>
      </c>
      <c r="I33" s="53">
        <v>429</v>
      </c>
      <c r="J33" s="79">
        <v>434</v>
      </c>
      <c r="K33" s="53">
        <v>19</v>
      </c>
      <c r="L33" s="55">
        <v>4.3778801843317972</v>
      </c>
    </row>
    <row r="34" spans="1:12" ht="15" customHeight="1" x14ac:dyDescent="0.2">
      <c r="A34" s="59"/>
      <c r="B34" s="58"/>
      <c r="C34" s="37" t="s">
        <v>101</v>
      </c>
      <c r="E34" s="52">
        <v>58.630136986301373</v>
      </c>
      <c r="F34" s="53">
        <v>642</v>
      </c>
      <c r="G34" s="53">
        <v>597</v>
      </c>
      <c r="H34" s="53">
        <v>601</v>
      </c>
      <c r="I34" s="53">
        <v>627</v>
      </c>
      <c r="J34" s="79">
        <v>590</v>
      </c>
      <c r="K34" s="53">
        <v>52</v>
      </c>
      <c r="L34" s="55">
        <v>8.8135593220338979</v>
      </c>
    </row>
    <row r="35" spans="1:12" ht="24" customHeight="1" x14ac:dyDescent="0.25">
      <c r="A35" s="477" t="s">
        <v>189</v>
      </c>
      <c r="B35" s="478"/>
      <c r="C35" s="478"/>
      <c r="D35" s="479"/>
      <c r="E35" s="52">
        <v>13.433605500644607</v>
      </c>
      <c r="F35" s="53">
        <v>1563</v>
      </c>
      <c r="G35" s="53">
        <v>1344</v>
      </c>
      <c r="H35" s="53">
        <v>1336</v>
      </c>
      <c r="I35" s="53">
        <v>1392</v>
      </c>
      <c r="J35" s="53">
        <v>1438</v>
      </c>
      <c r="K35" s="230">
        <v>125</v>
      </c>
      <c r="L35" s="231">
        <v>8.6926286509040338</v>
      </c>
    </row>
    <row r="36" spans="1:12" ht="15" customHeight="1" x14ac:dyDescent="0.2">
      <c r="A36" s="59"/>
      <c r="B36" s="58"/>
      <c r="C36" s="37" t="s">
        <v>100</v>
      </c>
      <c r="E36" s="52">
        <v>42.866282789507359</v>
      </c>
      <c r="F36" s="53">
        <v>670</v>
      </c>
      <c r="G36" s="53">
        <v>569</v>
      </c>
      <c r="H36" s="53">
        <v>548</v>
      </c>
      <c r="I36" s="53">
        <v>586</v>
      </c>
      <c r="J36" s="53">
        <v>619</v>
      </c>
      <c r="K36" s="230">
        <v>51</v>
      </c>
      <c r="L36" s="55">
        <v>8.2390953150242332</v>
      </c>
    </row>
    <row r="37" spans="1:12" ht="15" customHeight="1" x14ac:dyDescent="0.2">
      <c r="A37" s="59"/>
      <c r="B37" s="58"/>
      <c r="C37" s="37" t="s">
        <v>101</v>
      </c>
      <c r="E37" s="52">
        <v>57.133717210492641</v>
      </c>
      <c r="F37" s="53">
        <v>893</v>
      </c>
      <c r="G37" s="53">
        <v>775</v>
      </c>
      <c r="H37" s="53">
        <v>788</v>
      </c>
      <c r="I37" s="53">
        <v>806</v>
      </c>
      <c r="J37" s="79">
        <v>819</v>
      </c>
      <c r="K37" s="53">
        <v>74</v>
      </c>
      <c r="L37" s="55">
        <v>9.0354090354090353</v>
      </c>
    </row>
    <row r="38" spans="1:12" ht="15" customHeight="1" x14ac:dyDescent="0.2">
      <c r="A38" s="59"/>
      <c r="B38" s="58" t="s">
        <v>329</v>
      </c>
      <c r="E38" s="52">
        <v>64.933390631714659</v>
      </c>
      <c r="F38" s="53">
        <v>7555</v>
      </c>
      <c r="G38" s="53">
        <v>7412</v>
      </c>
      <c r="H38" s="53">
        <v>7568</v>
      </c>
      <c r="I38" s="53">
        <v>7508</v>
      </c>
      <c r="J38" s="79">
        <v>7415</v>
      </c>
      <c r="K38" s="53">
        <v>140</v>
      </c>
      <c r="L38" s="55">
        <v>1.8880647336480108</v>
      </c>
    </row>
    <row r="39" spans="1:12" ht="15" customHeight="1" x14ac:dyDescent="0.2">
      <c r="A39" s="59"/>
      <c r="B39" s="58"/>
      <c r="C39" s="37" t="s">
        <v>100</v>
      </c>
      <c r="E39" s="52">
        <v>43.87822634017207</v>
      </c>
      <c r="F39" s="54">
        <v>3315</v>
      </c>
      <c r="G39" s="53">
        <v>3240</v>
      </c>
      <c r="H39" s="53">
        <v>3294</v>
      </c>
      <c r="I39" s="53">
        <v>3265</v>
      </c>
      <c r="J39" s="79">
        <v>3208</v>
      </c>
      <c r="K39" s="53">
        <v>107</v>
      </c>
      <c r="L39" s="55">
        <v>3.3354114713216956</v>
      </c>
    </row>
    <row r="40" spans="1:12" ht="15" customHeight="1" x14ac:dyDescent="0.2">
      <c r="A40" s="59"/>
      <c r="B40" s="58"/>
      <c r="C40" s="37" t="s">
        <v>101</v>
      </c>
      <c r="E40" s="52">
        <v>56.12177365982793</v>
      </c>
      <c r="F40" s="54">
        <v>4240</v>
      </c>
      <c r="G40" s="53">
        <v>4172</v>
      </c>
      <c r="H40" s="53">
        <v>4274</v>
      </c>
      <c r="I40" s="53">
        <v>4243</v>
      </c>
      <c r="J40" s="79">
        <v>4207</v>
      </c>
      <c r="K40" s="53">
        <v>33</v>
      </c>
      <c r="L40" s="55">
        <v>0.78440694081293083</v>
      </c>
    </row>
    <row r="41" spans="1:12" ht="15" customHeight="1" x14ac:dyDescent="0.2">
      <c r="A41" s="59"/>
      <c r="B41" s="37" t="s">
        <v>550</v>
      </c>
      <c r="E41" s="52">
        <v>10.855178341211861</v>
      </c>
      <c r="F41" s="54">
        <v>1263</v>
      </c>
      <c r="G41" s="53">
        <v>1224</v>
      </c>
      <c r="H41" s="53">
        <v>1201</v>
      </c>
      <c r="I41" s="53">
        <v>1212</v>
      </c>
      <c r="J41" s="79">
        <v>1189</v>
      </c>
      <c r="K41" s="53">
        <v>74</v>
      </c>
      <c r="L41" s="55">
        <v>6.2237174095878887</v>
      </c>
    </row>
    <row r="42" spans="1:12" ht="15" customHeight="1" x14ac:dyDescent="0.2">
      <c r="A42" s="59"/>
      <c r="B42" s="58"/>
      <c r="C42" s="37" t="s">
        <v>100</v>
      </c>
      <c r="E42" s="52">
        <v>43.86381631037213</v>
      </c>
      <c r="F42" s="54">
        <v>554</v>
      </c>
      <c r="G42" s="53">
        <v>548</v>
      </c>
      <c r="H42" s="53">
        <v>539</v>
      </c>
      <c r="I42" s="53">
        <v>542</v>
      </c>
      <c r="J42" s="79">
        <v>536</v>
      </c>
      <c r="K42" s="53">
        <v>18</v>
      </c>
      <c r="L42" s="55">
        <v>3.3582089552238807</v>
      </c>
    </row>
    <row r="43" spans="1:12" ht="15" customHeight="1" x14ac:dyDescent="0.2">
      <c r="A43" s="59"/>
      <c r="B43" s="58"/>
      <c r="C43" s="37" t="s">
        <v>101</v>
      </c>
      <c r="E43" s="52">
        <v>56.13618368962787</v>
      </c>
      <c r="F43" s="54">
        <v>709</v>
      </c>
      <c r="G43" s="53">
        <v>676</v>
      </c>
      <c r="H43" s="53">
        <v>662</v>
      </c>
      <c r="I43" s="53">
        <v>670</v>
      </c>
      <c r="J43" s="79">
        <v>653</v>
      </c>
      <c r="K43" s="53">
        <v>56</v>
      </c>
      <c r="L43" s="55">
        <v>8.5758039816232774</v>
      </c>
    </row>
    <row r="44" spans="1:12" ht="15" customHeight="1" x14ac:dyDescent="0.2">
      <c r="A44" s="59"/>
      <c r="B44" s="58" t="s">
        <v>202</v>
      </c>
      <c r="E44" s="52">
        <v>10.777825526428879</v>
      </c>
      <c r="F44" s="54">
        <v>1254</v>
      </c>
      <c r="G44" s="53">
        <v>1221</v>
      </c>
      <c r="H44" s="53">
        <v>1265</v>
      </c>
      <c r="I44" s="53">
        <v>1289</v>
      </c>
      <c r="J44" s="79">
        <v>1310</v>
      </c>
      <c r="K44" s="53">
        <v>-56</v>
      </c>
      <c r="L44" s="55">
        <v>-4.2748091603053435</v>
      </c>
    </row>
    <row r="45" spans="1:12" ht="15" customHeight="1" x14ac:dyDescent="0.2">
      <c r="A45" s="59"/>
      <c r="B45" s="58"/>
      <c r="C45" s="37" t="s">
        <v>100</v>
      </c>
      <c r="E45" s="52">
        <v>44.657097288676233</v>
      </c>
      <c r="F45" s="54">
        <v>560</v>
      </c>
      <c r="G45" s="53">
        <v>542</v>
      </c>
      <c r="H45" s="53">
        <v>541</v>
      </c>
      <c r="I45" s="53">
        <v>538</v>
      </c>
      <c r="J45" s="79">
        <v>563</v>
      </c>
      <c r="K45" s="53">
        <v>-3</v>
      </c>
      <c r="L45" s="55">
        <v>-0.53285968028419184</v>
      </c>
    </row>
    <row r="46" spans="1:12" ht="15" customHeight="1" x14ac:dyDescent="0.2">
      <c r="A46" s="62"/>
      <c r="B46" s="63"/>
      <c r="C46" s="99" t="s">
        <v>101</v>
      </c>
      <c r="D46" s="99"/>
      <c r="E46" s="64">
        <v>55.342902711323767</v>
      </c>
      <c r="F46" s="82">
        <v>694</v>
      </c>
      <c r="G46" s="83">
        <v>679</v>
      </c>
      <c r="H46" s="83">
        <v>724</v>
      </c>
      <c r="I46" s="83">
        <v>751</v>
      </c>
      <c r="J46" s="84">
        <v>747</v>
      </c>
      <c r="K46" s="83">
        <v>-53</v>
      </c>
      <c r="L46" s="85">
        <v>-7.095046854082999</v>
      </c>
    </row>
    <row r="47" spans="1:12" s="87" customFormat="1" ht="11.25" customHeight="1" x14ac:dyDescent="0.2">
      <c r="L47" s="88" t="s">
        <v>37</v>
      </c>
    </row>
    <row r="48" spans="1:12" s="87" customFormat="1" ht="12.75" customHeight="1" x14ac:dyDescent="0.2">
      <c r="A48" s="87" t="s">
        <v>203</v>
      </c>
      <c r="B48" s="60"/>
      <c r="C48" s="60"/>
      <c r="D48" s="60"/>
      <c r="E48" s="60"/>
      <c r="F48" s="60"/>
      <c r="G48" s="60"/>
      <c r="H48" s="60"/>
      <c r="I48" s="60"/>
      <c r="J48" s="60"/>
      <c r="K48" s="60"/>
      <c r="L48" s="60"/>
    </row>
    <row r="49" spans="1:12" s="60" customFormat="1" ht="12.75" customHeight="1" x14ac:dyDescent="0.2">
      <c r="A49" s="87" t="s">
        <v>330</v>
      </c>
    </row>
    <row r="50" spans="1:12" s="60" customFormat="1" ht="12.75" customHeight="1" x14ac:dyDescent="0.2">
      <c r="A50" s="87" t="s">
        <v>331</v>
      </c>
    </row>
    <row r="51" spans="1:12" s="60" customFormat="1" ht="21" customHeight="1" x14ac:dyDescent="0.2">
      <c r="A51" s="440" t="s">
        <v>117</v>
      </c>
      <c r="B51" s="440"/>
      <c r="C51" s="440"/>
      <c r="D51" s="440"/>
      <c r="E51" s="440"/>
      <c r="F51" s="440"/>
      <c r="G51" s="440"/>
      <c r="H51" s="440"/>
      <c r="I51" s="440"/>
      <c r="J51" s="440"/>
      <c r="K51" s="440"/>
      <c r="L51" s="440"/>
    </row>
    <row r="52" spans="1:12" s="60" customFormat="1" ht="12.75" customHeight="1" x14ac:dyDescent="0.2">
      <c r="A52" s="440" t="s">
        <v>207</v>
      </c>
      <c r="B52" s="440"/>
      <c r="C52" s="440"/>
      <c r="D52" s="440"/>
      <c r="E52" s="440"/>
      <c r="F52" s="440"/>
      <c r="G52" s="440"/>
      <c r="H52" s="440"/>
      <c r="I52" s="440"/>
      <c r="J52" s="440"/>
      <c r="K52" s="440"/>
      <c r="L52" s="440"/>
    </row>
    <row r="53" spans="1:12" s="60" customFormat="1" ht="12.75" customHeight="1" x14ac:dyDescent="0.2">
      <c r="A53" s="490"/>
      <c r="B53" s="490"/>
      <c r="C53" s="490"/>
      <c r="D53" s="490"/>
      <c r="E53" s="490"/>
      <c r="F53" s="490"/>
      <c r="G53" s="490"/>
      <c r="H53" s="490"/>
      <c r="I53" s="490"/>
      <c r="J53" s="490"/>
      <c r="K53" s="490"/>
      <c r="L53" s="490"/>
    </row>
    <row r="54" spans="1:12" s="60" customFormat="1" ht="12.75" customHeight="1" x14ac:dyDescent="0.2">
      <c r="A54" s="440"/>
      <c r="B54" s="440"/>
      <c r="C54" s="440"/>
      <c r="D54" s="440"/>
      <c r="E54" s="440"/>
      <c r="F54" s="440"/>
      <c r="G54" s="440"/>
      <c r="H54" s="440"/>
      <c r="I54" s="440"/>
      <c r="J54" s="440"/>
      <c r="K54" s="440"/>
      <c r="L54" s="440"/>
    </row>
    <row r="55" spans="1:12" ht="12.75" customHeight="1" x14ac:dyDescent="0.2">
      <c r="E55" s="37"/>
      <c r="F55" s="37"/>
      <c r="G55" s="37"/>
      <c r="H55" s="37"/>
      <c r="I55" s="37"/>
      <c r="J55" s="37"/>
      <c r="K55" s="37"/>
      <c r="L55" s="37"/>
    </row>
    <row r="56" spans="1:12" ht="16" customHeight="1" x14ac:dyDescent="0.2">
      <c r="E56" s="37"/>
      <c r="F56" s="37"/>
      <c r="G56" s="37"/>
      <c r="H56" s="37"/>
      <c r="I56" s="37"/>
      <c r="J56" s="37"/>
      <c r="K56" s="37"/>
      <c r="L56" s="37"/>
    </row>
    <row r="57" spans="1:12" ht="16" customHeight="1" x14ac:dyDescent="0.2">
      <c r="E57" s="37"/>
      <c r="F57" s="37"/>
      <c r="G57" s="37"/>
      <c r="H57" s="37"/>
      <c r="I57" s="37"/>
      <c r="J57" s="37"/>
      <c r="K57" s="37"/>
      <c r="L57" s="37"/>
    </row>
    <row r="58" spans="1:12" ht="16" customHeight="1" x14ac:dyDescent="0.2">
      <c r="E58" s="37"/>
      <c r="F58" s="37"/>
      <c r="G58" s="37"/>
      <c r="H58" s="37"/>
      <c r="I58" s="37"/>
      <c r="J58" s="37"/>
      <c r="K58" s="37"/>
      <c r="L58" s="37"/>
    </row>
    <row r="59" spans="1:12" ht="16" customHeight="1" x14ac:dyDescent="0.2">
      <c r="E59" s="37"/>
      <c r="F59" s="37"/>
      <c r="G59" s="37"/>
      <c r="H59" s="37"/>
      <c r="I59" s="37"/>
      <c r="J59" s="37"/>
      <c r="K59" s="37"/>
      <c r="L59" s="37"/>
    </row>
    <row r="60" spans="1:12" ht="16" customHeight="1" x14ac:dyDescent="0.2">
      <c r="E60" s="37"/>
      <c r="F60" s="37"/>
      <c r="G60" s="37"/>
      <c r="H60" s="37"/>
      <c r="I60" s="37"/>
      <c r="J60" s="37"/>
      <c r="K60" s="37"/>
      <c r="L60" s="37"/>
    </row>
    <row r="61" spans="1:12" ht="16" customHeight="1" x14ac:dyDescent="0.2">
      <c r="E61" s="37"/>
      <c r="F61" s="37"/>
      <c r="G61" s="37"/>
      <c r="H61" s="37"/>
      <c r="I61" s="37"/>
      <c r="J61" s="37"/>
      <c r="K61" s="37"/>
      <c r="L61" s="37"/>
    </row>
    <row r="62" spans="1:12" ht="16" customHeight="1" x14ac:dyDescent="0.2">
      <c r="E62" s="37"/>
      <c r="F62" s="37"/>
      <c r="G62" s="37"/>
      <c r="H62" s="37"/>
      <c r="I62" s="37"/>
      <c r="J62" s="37"/>
      <c r="K62" s="37"/>
      <c r="L62" s="37"/>
    </row>
    <row r="63" spans="1:12" ht="16" customHeight="1" x14ac:dyDescent="0.2">
      <c r="E63" s="37"/>
      <c r="F63" s="37"/>
      <c r="G63" s="37"/>
      <c r="H63" s="37"/>
      <c r="I63" s="37"/>
      <c r="J63" s="37"/>
      <c r="K63" s="37"/>
      <c r="L63" s="37"/>
    </row>
    <row r="64" spans="1:12" ht="16" customHeight="1" x14ac:dyDescent="0.2">
      <c r="E64" s="37"/>
      <c r="F64" s="37"/>
      <c r="G64" s="37"/>
      <c r="H64" s="37"/>
      <c r="I64" s="37"/>
      <c r="J64" s="37"/>
      <c r="K64" s="37"/>
      <c r="L64" s="37"/>
    </row>
    <row r="65" s="37" customFormat="1" ht="16" customHeight="1" x14ac:dyDescent="0.2"/>
    <row r="66" s="37" customFormat="1" ht="16" customHeight="1" x14ac:dyDescent="0.2"/>
    <row r="67" s="37" customFormat="1" ht="16" customHeight="1" x14ac:dyDescent="0.2"/>
    <row r="68" s="37" customFormat="1" ht="16" customHeight="1" x14ac:dyDescent="0.2"/>
    <row r="69" s="37" customFormat="1" ht="16" customHeight="1" x14ac:dyDescent="0.2"/>
    <row r="70" s="37" customFormat="1" ht="16" customHeight="1" x14ac:dyDescent="0.2"/>
    <row r="71" s="37" customFormat="1" ht="16" customHeight="1" x14ac:dyDescent="0.2"/>
    <row r="72" s="37" customFormat="1" ht="16" customHeight="1" x14ac:dyDescent="0.2"/>
    <row r="73" s="37" customFormat="1" ht="16" customHeight="1" x14ac:dyDescent="0.2"/>
    <row r="74" s="37" customFormat="1" ht="16" customHeight="1" x14ac:dyDescent="0.2"/>
    <row r="75" s="37" customFormat="1" ht="16" customHeight="1" x14ac:dyDescent="0.2"/>
    <row r="76" s="37" customFormat="1" ht="16" customHeight="1" x14ac:dyDescent="0.2"/>
    <row r="77" s="37" customFormat="1" ht="16" customHeight="1" x14ac:dyDescent="0.2"/>
    <row r="78" s="37" customFormat="1" ht="16" customHeight="1" x14ac:dyDescent="0.2"/>
    <row r="79" s="37" customFormat="1" ht="16" customHeight="1" x14ac:dyDescent="0.2"/>
    <row r="80" s="37" customFormat="1" ht="16" customHeight="1" x14ac:dyDescent="0.2"/>
    <row r="81" s="37" customFormat="1" ht="16" customHeight="1" x14ac:dyDescent="0.2"/>
    <row r="82" s="37" customFormat="1" ht="16" customHeight="1" x14ac:dyDescent="0.2"/>
    <row r="83" s="37" customFormat="1" ht="16" customHeight="1" x14ac:dyDescent="0.2"/>
    <row r="84" s="37" customFormat="1" ht="16" customHeight="1" x14ac:dyDescent="0.2"/>
    <row r="85" s="37" customFormat="1" ht="16" customHeight="1" x14ac:dyDescent="0.2"/>
    <row r="86" s="37" customFormat="1" ht="16" customHeight="1" x14ac:dyDescent="0.2"/>
    <row r="87" s="37" customFormat="1" ht="16" customHeight="1" x14ac:dyDescent="0.2"/>
    <row r="88" s="37" customFormat="1" ht="16" customHeight="1" x14ac:dyDescent="0.2"/>
    <row r="89" s="37" customFormat="1" ht="16" customHeight="1" x14ac:dyDescent="0.2"/>
    <row r="90" s="37" customFormat="1" ht="16" customHeight="1" x14ac:dyDescent="0.2"/>
    <row r="91" s="37" customFormat="1" ht="16" customHeight="1" x14ac:dyDescent="0.2"/>
    <row r="92" s="37" customFormat="1" ht="16" customHeight="1" x14ac:dyDescent="0.2"/>
    <row r="93" s="37" customFormat="1" ht="16" customHeight="1" x14ac:dyDescent="0.2"/>
    <row r="94" s="37" customFormat="1" ht="16" customHeight="1" x14ac:dyDescent="0.2"/>
    <row r="95" s="37" customFormat="1" ht="16" customHeight="1" x14ac:dyDescent="0.2"/>
    <row r="96" s="37" customFormat="1" ht="16" customHeight="1" x14ac:dyDescent="0.2"/>
    <row r="97" s="37" customFormat="1" ht="16" customHeight="1" x14ac:dyDescent="0.2"/>
    <row r="98" s="37" customFormat="1" ht="16" customHeight="1" x14ac:dyDescent="0.2"/>
    <row r="99" s="37" customFormat="1" ht="16" customHeight="1" x14ac:dyDescent="0.2"/>
    <row r="100" s="37" customFormat="1" ht="16" customHeight="1" x14ac:dyDescent="0.2"/>
    <row r="101" s="37" customFormat="1" ht="16" customHeight="1" x14ac:dyDescent="0.2"/>
    <row r="102" s="37" customFormat="1" ht="16" customHeight="1" x14ac:dyDescent="0.2"/>
    <row r="103" s="37" customFormat="1" ht="16" customHeight="1" x14ac:dyDescent="0.2"/>
    <row r="104" s="37" customFormat="1" ht="16" customHeight="1" x14ac:dyDescent="0.2"/>
    <row r="105" s="37" customFormat="1" ht="16" customHeight="1" x14ac:dyDescent="0.2"/>
    <row r="106" s="37" customFormat="1" ht="16" customHeight="1" x14ac:dyDescent="0.2"/>
    <row r="107" s="37" customFormat="1" ht="16" customHeight="1" x14ac:dyDescent="0.2"/>
    <row r="108" s="37" customFormat="1" ht="16" customHeight="1" x14ac:dyDescent="0.2"/>
    <row r="109" s="37" customFormat="1" ht="16" customHeight="1" x14ac:dyDescent="0.2"/>
    <row r="110" s="37" customFormat="1" ht="16" customHeight="1" x14ac:dyDescent="0.2"/>
    <row r="111" s="37" customFormat="1" ht="16" customHeight="1" x14ac:dyDescent="0.2"/>
    <row r="112" s="37" customFormat="1" ht="16" customHeight="1" x14ac:dyDescent="0.2"/>
    <row r="113" s="37" customFormat="1" ht="16" customHeight="1" x14ac:dyDescent="0.2"/>
    <row r="114" s="37" customFormat="1" ht="16" customHeight="1" x14ac:dyDescent="0.2"/>
    <row r="115" s="37" customFormat="1" ht="16" customHeight="1" x14ac:dyDescent="0.2"/>
    <row r="116" s="37" customFormat="1" ht="16" customHeight="1" x14ac:dyDescent="0.2"/>
    <row r="117" s="37" customFormat="1" ht="16" customHeight="1" x14ac:dyDescent="0.2"/>
    <row r="118" s="37" customFormat="1" ht="16" customHeight="1" x14ac:dyDescent="0.2"/>
    <row r="119" s="37" customFormat="1" ht="16" customHeight="1" x14ac:dyDescent="0.2"/>
    <row r="120" s="37" customFormat="1" ht="16" customHeight="1" x14ac:dyDescent="0.2"/>
    <row r="121" s="37" customFormat="1" ht="16" customHeight="1" x14ac:dyDescent="0.2"/>
    <row r="122" s="37" customFormat="1" ht="16" customHeight="1" x14ac:dyDescent="0.2"/>
    <row r="123" s="37" customFormat="1" ht="16" customHeight="1" x14ac:dyDescent="0.2"/>
    <row r="124" s="37" customFormat="1" ht="16" customHeight="1" x14ac:dyDescent="0.2"/>
    <row r="125" s="37" customFormat="1" ht="16" customHeight="1" x14ac:dyDescent="0.2"/>
    <row r="126" s="37" customFormat="1" ht="16" customHeight="1" x14ac:dyDescent="0.2"/>
    <row r="127" s="37" customFormat="1" ht="16" customHeight="1" x14ac:dyDescent="0.2"/>
    <row r="128" s="37" customFormat="1" ht="16" customHeight="1" x14ac:dyDescent="0.2"/>
    <row r="129" s="37" customFormat="1" ht="16" customHeight="1" x14ac:dyDescent="0.2"/>
    <row r="130" s="37" customFormat="1" ht="16" customHeight="1" x14ac:dyDescent="0.2"/>
    <row r="131" s="37" customFormat="1" ht="16" customHeight="1" x14ac:dyDescent="0.2"/>
    <row r="132" s="37" customFormat="1" ht="16" customHeight="1" x14ac:dyDescent="0.2"/>
    <row r="133" s="37" customFormat="1" ht="16" customHeight="1" x14ac:dyDescent="0.2"/>
    <row r="134" s="37" customFormat="1" ht="16" customHeight="1" x14ac:dyDescent="0.2"/>
    <row r="135" s="37" customFormat="1" ht="16" customHeight="1" x14ac:dyDescent="0.2"/>
    <row r="136" s="37" customFormat="1" ht="16" customHeight="1" x14ac:dyDescent="0.2"/>
    <row r="137" s="37" customFormat="1" ht="16" customHeight="1" x14ac:dyDescent="0.2"/>
    <row r="138" s="37" customFormat="1" ht="16" customHeight="1" x14ac:dyDescent="0.2"/>
    <row r="139" s="37" customFormat="1" ht="16" customHeight="1" x14ac:dyDescent="0.2"/>
    <row r="140" s="37" customFormat="1" ht="16" customHeight="1" x14ac:dyDescent="0.2"/>
    <row r="141" s="37" customFormat="1" ht="16" customHeight="1" x14ac:dyDescent="0.2"/>
    <row r="142" s="37" customFormat="1" ht="16" customHeight="1" x14ac:dyDescent="0.2"/>
    <row r="143" s="37" customFormat="1" ht="16" customHeight="1" x14ac:dyDescent="0.2"/>
    <row r="144" s="37" customFormat="1" ht="16" customHeight="1" x14ac:dyDescent="0.2"/>
    <row r="145" s="37" customFormat="1" ht="16" customHeight="1" x14ac:dyDescent="0.2"/>
    <row r="146" s="37" customFormat="1" ht="16" customHeight="1" x14ac:dyDescent="0.2"/>
    <row r="147" s="37" customFormat="1" ht="16" customHeight="1" x14ac:dyDescent="0.2"/>
    <row r="148" s="37" customFormat="1" ht="16" customHeight="1" x14ac:dyDescent="0.2"/>
    <row r="149" s="37" customFormat="1" ht="16" customHeight="1" x14ac:dyDescent="0.2"/>
    <row r="150" s="37" customFormat="1" ht="16" customHeight="1" x14ac:dyDescent="0.2"/>
    <row r="151" s="37" customFormat="1" ht="16" customHeight="1" x14ac:dyDescent="0.2"/>
    <row r="152" s="37" customFormat="1" ht="16" customHeight="1" x14ac:dyDescent="0.2"/>
    <row r="153" s="37" customFormat="1" ht="16" customHeight="1" x14ac:dyDescent="0.2"/>
    <row r="154" s="37" customFormat="1" ht="16" customHeight="1" x14ac:dyDescent="0.2"/>
    <row r="155" s="37" customFormat="1" ht="16" customHeight="1" x14ac:dyDescent="0.2"/>
    <row r="156" s="37" customFormat="1" ht="16" customHeight="1" x14ac:dyDescent="0.2"/>
    <row r="157" s="37" customFormat="1" ht="16" customHeight="1" x14ac:dyDescent="0.2"/>
    <row r="158" s="37" customFormat="1" ht="16" customHeight="1" x14ac:dyDescent="0.2"/>
    <row r="159" s="37" customFormat="1" ht="16" customHeight="1" x14ac:dyDescent="0.2"/>
    <row r="160" s="37" customFormat="1" ht="16" customHeight="1" x14ac:dyDescent="0.2"/>
    <row r="161" s="37" customFormat="1" ht="16" customHeight="1" x14ac:dyDescent="0.2"/>
    <row r="162" s="37" customFormat="1" ht="16" customHeight="1" x14ac:dyDescent="0.2"/>
    <row r="163" s="37" customFormat="1" ht="16" customHeight="1" x14ac:dyDescent="0.2"/>
    <row r="164" s="37" customFormat="1" ht="16" customHeight="1" x14ac:dyDescent="0.2"/>
    <row r="165" s="37" customFormat="1" ht="16" customHeight="1" x14ac:dyDescent="0.2"/>
    <row r="166" s="37" customFormat="1" ht="16" customHeight="1" x14ac:dyDescent="0.2"/>
    <row r="167" s="37" customFormat="1" ht="16" customHeight="1" x14ac:dyDescent="0.2"/>
    <row r="168" s="37" customFormat="1" ht="16" customHeight="1" x14ac:dyDescent="0.2"/>
    <row r="169" s="37" customFormat="1" ht="16" customHeight="1" x14ac:dyDescent="0.2"/>
    <row r="170" s="37" customFormat="1" ht="16" customHeight="1" x14ac:dyDescent="0.2"/>
    <row r="171" s="37" customFormat="1" ht="16" customHeight="1" x14ac:dyDescent="0.2"/>
    <row r="172" s="37" customFormat="1" ht="16" customHeight="1" x14ac:dyDescent="0.2"/>
    <row r="173" s="37" customFormat="1" ht="16" customHeight="1" x14ac:dyDescent="0.2"/>
    <row r="174" s="37" customFormat="1" ht="16" customHeight="1" x14ac:dyDescent="0.2"/>
    <row r="175" s="37" customFormat="1" ht="16" customHeight="1" x14ac:dyDescent="0.2"/>
    <row r="176" s="37" customFormat="1" ht="16" customHeight="1" x14ac:dyDescent="0.2"/>
    <row r="177" s="37" customFormat="1" ht="16" customHeight="1" x14ac:dyDescent="0.2"/>
    <row r="178" s="37" customFormat="1" ht="16" customHeight="1" x14ac:dyDescent="0.2"/>
    <row r="179" s="37" customFormat="1" ht="16" customHeight="1" x14ac:dyDescent="0.2"/>
    <row r="180" s="37" customFormat="1" ht="16" customHeight="1" x14ac:dyDescent="0.2"/>
    <row r="181" s="37" customFormat="1" ht="16" customHeight="1" x14ac:dyDescent="0.2"/>
    <row r="182" s="37" customFormat="1" ht="16" customHeight="1" x14ac:dyDescent="0.2"/>
    <row r="183" s="37" customFormat="1" ht="16" customHeight="1" x14ac:dyDescent="0.2"/>
    <row r="184" s="37" customFormat="1" ht="16" customHeight="1" x14ac:dyDescent="0.2"/>
    <row r="185" s="37" customFormat="1" ht="16" customHeight="1" x14ac:dyDescent="0.2"/>
    <row r="186" s="37" customFormat="1" ht="16" customHeight="1" x14ac:dyDescent="0.2"/>
    <row r="187" s="37" customFormat="1" ht="16" customHeight="1" x14ac:dyDescent="0.2"/>
    <row r="188" s="37" customFormat="1" ht="16" customHeight="1" x14ac:dyDescent="0.2"/>
    <row r="189" s="37" customFormat="1" ht="16" customHeight="1" x14ac:dyDescent="0.2"/>
    <row r="190" s="37" customFormat="1" ht="16" customHeight="1" x14ac:dyDescent="0.2"/>
    <row r="191" s="37" customFormat="1" ht="16" customHeight="1" x14ac:dyDescent="0.2"/>
    <row r="192" s="37" customFormat="1" ht="16" customHeight="1" x14ac:dyDescent="0.2"/>
    <row r="193" s="37" customFormat="1" ht="16" customHeight="1" x14ac:dyDescent="0.2"/>
    <row r="194" s="37" customFormat="1" ht="16" customHeight="1" x14ac:dyDescent="0.2"/>
  </sheetData>
  <mergeCells count="21">
    <mergeCell ref="A29:D29"/>
    <mergeCell ref="A3:L3"/>
    <mergeCell ref="A4:L4"/>
    <mergeCell ref="A5:F5"/>
    <mergeCell ref="A7:D10"/>
    <mergeCell ref="E7:E10"/>
    <mergeCell ref="F7:J7"/>
    <mergeCell ref="K7:L8"/>
    <mergeCell ref="F8:F9"/>
    <mergeCell ref="G8:G9"/>
    <mergeCell ref="H8:H9"/>
    <mergeCell ref="I8:I9"/>
    <mergeCell ref="J8:J9"/>
    <mergeCell ref="A12:D12"/>
    <mergeCell ref="B13:C13"/>
    <mergeCell ref="A14:D14"/>
    <mergeCell ref="A35:D35"/>
    <mergeCell ref="A51:L51"/>
    <mergeCell ref="A52:L52"/>
    <mergeCell ref="A53:L53"/>
    <mergeCell ref="A54:L54"/>
  </mergeCells>
  <printOptions horizontalCentered="1"/>
  <pageMargins left="0.7" right="0.7" top="0.75" bottom="0.75" header="0.3" footer="0.3"/>
  <pageSetup paperSize="9" scale="79"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16E1E-562B-4FB3-B043-F8B7C51925DE}">
  <sheetPr codeName="Tabelle15">
    <pageSetUpPr fitToPage="1"/>
  </sheetPr>
  <dimension ref="A1:O43"/>
  <sheetViews>
    <sheetView showGridLines="0" zoomScaleNormal="100" workbookViewId="0"/>
  </sheetViews>
  <sheetFormatPr defaultColWidth="8.81640625" defaultRowHeight="16" customHeight="1" x14ac:dyDescent="0.2"/>
  <cols>
    <col min="1" max="1" width="9.7265625" style="37" customWidth="1"/>
    <col min="2" max="2" width="48.7265625" style="37" customWidth="1"/>
    <col min="3" max="3" width="6.7265625" style="61" customWidth="1"/>
    <col min="4" max="9" width="9.7265625" style="90" customWidth="1"/>
    <col min="10" max="10" width="9.7265625" style="91" customWidth="1"/>
    <col min="11" max="11" width="9.7265625" style="37" customWidth="1"/>
    <col min="12" max="16384" width="8.81640625" style="37"/>
  </cols>
  <sheetData>
    <row r="1" spans="1:15" customFormat="1" ht="36.75" customHeight="1" x14ac:dyDescent="0.25">
      <c r="A1" s="30"/>
      <c r="B1" s="31"/>
      <c r="C1" s="161"/>
      <c r="D1" s="31"/>
      <c r="E1" s="31"/>
      <c r="F1" s="31"/>
      <c r="G1" s="31"/>
      <c r="H1" s="31"/>
      <c r="I1" s="31"/>
      <c r="J1" s="32" t="s">
        <v>40</v>
      </c>
    </row>
    <row r="2" spans="1:15" customFormat="1" ht="11.25" customHeight="1" x14ac:dyDescent="0.25">
      <c r="A2" s="33"/>
      <c r="B2" s="34"/>
      <c r="C2" s="163"/>
      <c r="D2" s="34"/>
      <c r="E2" s="34"/>
      <c r="F2" s="34"/>
      <c r="G2" s="34"/>
      <c r="H2" s="34"/>
      <c r="I2" s="34"/>
      <c r="J2" s="34"/>
    </row>
    <row r="3" spans="1:15" s="35" customFormat="1" ht="20.149999999999999" customHeight="1" x14ac:dyDescent="0.35">
      <c r="A3" s="445" t="s">
        <v>332</v>
      </c>
      <c r="B3" s="445"/>
      <c r="C3" s="445"/>
      <c r="D3" s="445"/>
      <c r="E3" s="445"/>
      <c r="F3" s="445"/>
      <c r="G3" s="445"/>
      <c r="H3" s="445"/>
      <c r="I3" s="445"/>
      <c r="J3" s="445"/>
    </row>
    <row r="4" spans="1:15" s="35" customFormat="1" ht="12" customHeight="1" x14ac:dyDescent="0.35">
      <c r="A4" s="446" t="s">
        <v>86</v>
      </c>
      <c r="B4" s="446"/>
      <c r="C4" s="446"/>
      <c r="D4" s="446"/>
      <c r="E4" s="446"/>
      <c r="F4" s="446"/>
      <c r="G4" s="446"/>
      <c r="H4" s="446"/>
      <c r="I4" s="446"/>
      <c r="J4" s="446"/>
    </row>
    <row r="5" spans="1:15" s="35" customFormat="1" ht="12" customHeight="1" x14ac:dyDescent="0.35">
      <c r="A5" s="447" t="s">
        <v>42</v>
      </c>
      <c r="B5" s="447"/>
      <c r="C5" s="447"/>
      <c r="D5" s="447"/>
      <c r="E5" s="165"/>
      <c r="F5" s="165"/>
      <c r="G5" s="165"/>
      <c r="H5" s="165"/>
      <c r="I5" s="165"/>
      <c r="J5" s="165"/>
    </row>
    <row r="6" spans="1:15" s="35" customFormat="1" ht="11.25" customHeight="1" x14ac:dyDescent="0.35">
      <c r="A6" s="145"/>
      <c r="B6" s="146"/>
      <c r="C6" s="146"/>
      <c r="D6" s="146"/>
      <c r="E6" s="146"/>
      <c r="F6" s="146"/>
      <c r="G6" s="146"/>
      <c r="H6" s="146"/>
      <c r="I6" s="146"/>
      <c r="J6" s="146"/>
    </row>
    <row r="7" spans="1:15" customFormat="1" ht="12" customHeight="1" x14ac:dyDescent="0.25">
      <c r="A7" s="462" t="s">
        <v>209</v>
      </c>
      <c r="B7" s="463"/>
      <c r="C7" s="456" t="s">
        <v>88</v>
      </c>
      <c r="D7" s="459" t="s">
        <v>327</v>
      </c>
      <c r="E7" s="460"/>
      <c r="F7" s="460"/>
      <c r="G7" s="460"/>
      <c r="H7" s="461"/>
      <c r="I7" s="462" t="s">
        <v>176</v>
      </c>
      <c r="J7" s="463"/>
      <c r="K7" s="37"/>
      <c r="L7" s="37"/>
      <c r="M7" s="37"/>
      <c r="N7" s="37"/>
      <c r="O7" s="37"/>
    </row>
    <row r="8" spans="1:15" ht="21.75" customHeight="1" x14ac:dyDescent="0.2">
      <c r="A8" s="487"/>
      <c r="B8" s="488"/>
      <c r="C8" s="457"/>
      <c r="D8" s="438" t="s">
        <v>91</v>
      </c>
      <c r="E8" s="438" t="s">
        <v>92</v>
      </c>
      <c r="F8" s="438" t="s">
        <v>93</v>
      </c>
      <c r="G8" s="438" t="s">
        <v>94</v>
      </c>
      <c r="H8" s="438" t="s">
        <v>95</v>
      </c>
      <c r="I8" s="464"/>
      <c r="J8" s="465"/>
    </row>
    <row r="9" spans="1:15" ht="12" customHeight="1" x14ac:dyDescent="0.2">
      <c r="A9" s="487"/>
      <c r="B9" s="488"/>
      <c r="C9" s="457"/>
      <c r="D9" s="439"/>
      <c r="E9" s="439"/>
      <c r="F9" s="439"/>
      <c r="G9" s="439"/>
      <c r="H9" s="439"/>
      <c r="I9" s="38" t="s">
        <v>96</v>
      </c>
      <c r="J9" s="39" t="s">
        <v>97</v>
      </c>
    </row>
    <row r="10" spans="1:15" ht="12" customHeight="1" x14ac:dyDescent="0.2">
      <c r="A10" s="180"/>
      <c r="B10" s="181"/>
      <c r="C10" s="458"/>
      <c r="D10" s="40">
        <v>1</v>
      </c>
      <c r="E10" s="40">
        <v>2</v>
      </c>
      <c r="F10" s="40">
        <v>3</v>
      </c>
      <c r="G10" s="40">
        <v>4</v>
      </c>
      <c r="H10" s="40">
        <v>5</v>
      </c>
      <c r="I10" s="40">
        <v>6</v>
      </c>
      <c r="J10" s="40">
        <v>7</v>
      </c>
      <c r="K10" s="41"/>
    </row>
    <row r="11" spans="1:15" s="119" customFormat="1" ht="25" customHeight="1" x14ac:dyDescent="0.2">
      <c r="A11" s="485" t="s">
        <v>98</v>
      </c>
      <c r="B11" s="486"/>
      <c r="C11" s="52">
        <v>100</v>
      </c>
      <c r="D11" s="54">
        <v>11635</v>
      </c>
      <c r="E11" s="53">
        <v>11201</v>
      </c>
      <c r="F11" s="53">
        <v>11370</v>
      </c>
      <c r="G11" s="53">
        <v>11401</v>
      </c>
      <c r="H11" s="79">
        <v>11352</v>
      </c>
      <c r="I11" s="54">
        <v>283</v>
      </c>
      <c r="J11" s="55">
        <v>2.4929527836504581</v>
      </c>
    </row>
    <row r="12" spans="1:15" ht="25" customHeight="1" x14ac:dyDescent="0.2">
      <c r="A12" s="120" t="s">
        <v>126</v>
      </c>
      <c r="B12" s="121" t="s">
        <v>127</v>
      </c>
      <c r="C12" s="52">
        <v>2.5870219166308552</v>
      </c>
      <c r="D12" s="54">
        <v>301</v>
      </c>
      <c r="E12" s="53">
        <v>301</v>
      </c>
      <c r="F12" s="53">
        <v>331</v>
      </c>
      <c r="G12" s="53">
        <v>327</v>
      </c>
      <c r="H12" s="79">
        <v>323</v>
      </c>
      <c r="I12" s="54">
        <v>-22</v>
      </c>
      <c r="J12" s="55">
        <v>-6.8111455108359129</v>
      </c>
    </row>
    <row r="13" spans="1:15" ht="25" customHeight="1" x14ac:dyDescent="0.2">
      <c r="A13" s="120" t="s">
        <v>128</v>
      </c>
      <c r="B13" s="126" t="s">
        <v>210</v>
      </c>
      <c r="C13" s="52">
        <v>0.66179630425440483</v>
      </c>
      <c r="D13" s="54">
        <v>77</v>
      </c>
      <c r="E13" s="53">
        <v>81</v>
      </c>
      <c r="F13" s="53">
        <v>78</v>
      </c>
      <c r="G13" s="53">
        <v>80</v>
      </c>
      <c r="H13" s="79">
        <v>89</v>
      </c>
      <c r="I13" s="54">
        <v>-12</v>
      </c>
      <c r="J13" s="55">
        <v>-13.48314606741573</v>
      </c>
    </row>
    <row r="14" spans="1:15" s="140" customFormat="1" ht="25" customHeight="1" x14ac:dyDescent="0.2">
      <c r="A14" s="120" t="s">
        <v>211</v>
      </c>
      <c r="B14" s="126" t="s">
        <v>131</v>
      </c>
      <c r="C14" s="52">
        <v>8.0790717662226044</v>
      </c>
      <c r="D14" s="54">
        <v>940</v>
      </c>
      <c r="E14" s="53">
        <v>907</v>
      </c>
      <c r="F14" s="53">
        <v>954</v>
      </c>
      <c r="G14" s="53">
        <v>935</v>
      </c>
      <c r="H14" s="79">
        <v>930</v>
      </c>
      <c r="I14" s="54">
        <v>10</v>
      </c>
      <c r="J14" s="55">
        <v>1.075268817204301</v>
      </c>
      <c r="K14" s="37"/>
      <c r="L14" s="37"/>
      <c r="M14" s="37"/>
      <c r="N14" s="37"/>
      <c r="O14" s="37"/>
    </row>
    <row r="15" spans="1:15" ht="25" customHeight="1" x14ac:dyDescent="0.2">
      <c r="A15" s="120" t="s">
        <v>212</v>
      </c>
      <c r="B15" s="126" t="s">
        <v>213</v>
      </c>
      <c r="C15" s="52">
        <v>3.9020197679415558</v>
      </c>
      <c r="D15" s="54">
        <v>454</v>
      </c>
      <c r="E15" s="53">
        <v>410</v>
      </c>
      <c r="F15" s="53">
        <v>445</v>
      </c>
      <c r="G15" s="53">
        <v>442</v>
      </c>
      <c r="H15" s="79">
        <v>444</v>
      </c>
      <c r="I15" s="54">
        <v>10</v>
      </c>
      <c r="J15" s="55">
        <v>2.2522522522522523</v>
      </c>
    </row>
    <row r="16" spans="1:15" s="140" customFormat="1" ht="25" customHeight="1" x14ac:dyDescent="0.2">
      <c r="A16" s="120" t="s">
        <v>214</v>
      </c>
      <c r="B16" s="126" t="s">
        <v>135</v>
      </c>
      <c r="C16" s="52">
        <v>3.2746024924795876</v>
      </c>
      <c r="D16" s="54">
        <v>381</v>
      </c>
      <c r="E16" s="53">
        <v>383</v>
      </c>
      <c r="F16" s="53">
        <v>388</v>
      </c>
      <c r="G16" s="53">
        <v>385</v>
      </c>
      <c r="H16" s="79">
        <v>375</v>
      </c>
      <c r="I16" s="54">
        <v>6</v>
      </c>
      <c r="J16" s="55">
        <v>1.6</v>
      </c>
      <c r="K16" s="37"/>
      <c r="L16" s="37"/>
      <c r="M16" s="37"/>
      <c r="N16" s="37"/>
      <c r="O16" s="37"/>
    </row>
    <row r="17" spans="1:15" ht="25" customHeight="1" x14ac:dyDescent="0.2">
      <c r="A17" s="120" t="s">
        <v>136</v>
      </c>
      <c r="B17" s="126" t="s">
        <v>216</v>
      </c>
      <c r="C17" s="52">
        <v>0.9024495058014611</v>
      </c>
      <c r="D17" s="54">
        <v>105</v>
      </c>
      <c r="E17" s="53">
        <v>114</v>
      </c>
      <c r="F17" s="53">
        <v>121</v>
      </c>
      <c r="G17" s="53">
        <v>108</v>
      </c>
      <c r="H17" s="79">
        <v>111</v>
      </c>
      <c r="I17" s="54">
        <v>-6</v>
      </c>
      <c r="J17" s="55">
        <v>-5.4054054054054053</v>
      </c>
    </row>
    <row r="18" spans="1:15" s="140" customFormat="1" ht="25" customHeight="1" x14ac:dyDescent="0.2">
      <c r="A18" s="128" t="s">
        <v>138</v>
      </c>
      <c r="B18" s="129" t="s">
        <v>139</v>
      </c>
      <c r="C18" s="52">
        <v>6.8758057584873224</v>
      </c>
      <c r="D18" s="54">
        <v>800</v>
      </c>
      <c r="E18" s="53">
        <v>774</v>
      </c>
      <c r="F18" s="53">
        <v>793</v>
      </c>
      <c r="G18" s="53">
        <v>782</v>
      </c>
      <c r="H18" s="79">
        <v>770</v>
      </c>
      <c r="I18" s="54">
        <v>30</v>
      </c>
      <c r="J18" s="55">
        <v>3.8961038961038961</v>
      </c>
      <c r="K18" s="37"/>
      <c r="L18" s="37"/>
      <c r="M18" s="37"/>
      <c r="N18" s="37"/>
      <c r="O18" s="37"/>
    </row>
    <row r="19" spans="1:15" ht="25" customHeight="1" x14ac:dyDescent="0.2">
      <c r="A19" s="120" t="s">
        <v>140</v>
      </c>
      <c r="B19" s="126" t="s">
        <v>141</v>
      </c>
      <c r="C19" s="52">
        <v>14.946282767511818</v>
      </c>
      <c r="D19" s="54">
        <v>1739</v>
      </c>
      <c r="E19" s="53">
        <v>1674</v>
      </c>
      <c r="F19" s="53">
        <v>1690</v>
      </c>
      <c r="G19" s="53">
        <v>1662</v>
      </c>
      <c r="H19" s="79">
        <v>1691</v>
      </c>
      <c r="I19" s="54">
        <v>48</v>
      </c>
      <c r="J19" s="55">
        <v>2.8385570668243645</v>
      </c>
    </row>
    <row r="20" spans="1:15" s="140" customFormat="1" ht="25" customHeight="1" x14ac:dyDescent="0.2">
      <c r="A20" s="120" t="s">
        <v>142</v>
      </c>
      <c r="B20" s="126" t="s">
        <v>143</v>
      </c>
      <c r="C20" s="52">
        <v>4.520842286205415</v>
      </c>
      <c r="D20" s="54">
        <v>526</v>
      </c>
      <c r="E20" s="53">
        <v>515</v>
      </c>
      <c r="F20" s="53">
        <v>511</v>
      </c>
      <c r="G20" s="53">
        <v>533</v>
      </c>
      <c r="H20" s="79">
        <v>516</v>
      </c>
      <c r="I20" s="54">
        <v>10</v>
      </c>
      <c r="J20" s="55">
        <v>1.9379844961240309</v>
      </c>
      <c r="K20" s="37"/>
      <c r="L20" s="37"/>
      <c r="M20" s="37"/>
      <c r="N20" s="37"/>
      <c r="O20" s="37"/>
    </row>
    <row r="21" spans="1:15" ht="25" customHeight="1" x14ac:dyDescent="0.2">
      <c r="A21" s="128" t="s">
        <v>144</v>
      </c>
      <c r="B21" s="129" t="s">
        <v>145</v>
      </c>
      <c r="C21" s="52">
        <v>14.387623549634723</v>
      </c>
      <c r="D21" s="54">
        <v>1674</v>
      </c>
      <c r="E21" s="53">
        <v>1505</v>
      </c>
      <c r="F21" s="53">
        <v>1493</v>
      </c>
      <c r="G21" s="53">
        <v>1592</v>
      </c>
      <c r="H21" s="79">
        <v>1551</v>
      </c>
      <c r="I21" s="54">
        <v>123</v>
      </c>
      <c r="J21" s="55">
        <v>7.9303675048355897</v>
      </c>
    </row>
    <row r="22" spans="1:15" ht="25" customHeight="1" x14ac:dyDescent="0.2">
      <c r="A22" s="128" t="s">
        <v>146</v>
      </c>
      <c r="B22" s="126" t="s">
        <v>147</v>
      </c>
      <c r="C22" s="52">
        <v>1.0399656209712076</v>
      </c>
      <c r="D22" s="54">
        <v>121</v>
      </c>
      <c r="E22" s="53">
        <v>118</v>
      </c>
      <c r="F22" s="53">
        <v>130</v>
      </c>
      <c r="G22" s="53">
        <v>126</v>
      </c>
      <c r="H22" s="79">
        <v>122</v>
      </c>
      <c r="I22" s="54">
        <v>-1</v>
      </c>
      <c r="J22" s="55">
        <v>-0.81967213114754101</v>
      </c>
    </row>
    <row r="23" spans="1:15" ht="25" customHeight="1" x14ac:dyDescent="0.2">
      <c r="A23" s="120" t="s">
        <v>148</v>
      </c>
      <c r="B23" s="126" t="s">
        <v>149</v>
      </c>
      <c r="C23" s="52">
        <v>1.5384615384615385</v>
      </c>
      <c r="D23" s="54">
        <v>179</v>
      </c>
      <c r="E23" s="53">
        <v>172</v>
      </c>
      <c r="F23" s="53">
        <v>169</v>
      </c>
      <c r="G23" s="53">
        <v>162</v>
      </c>
      <c r="H23" s="79">
        <v>164</v>
      </c>
      <c r="I23" s="54">
        <v>15</v>
      </c>
      <c r="J23" s="55">
        <v>9.1463414634146343</v>
      </c>
    </row>
    <row r="24" spans="1:15" ht="25" customHeight="1" x14ac:dyDescent="0.2">
      <c r="A24" s="120" t="s">
        <v>150</v>
      </c>
      <c r="B24" s="126" t="s">
        <v>217</v>
      </c>
      <c r="C24" s="52">
        <v>8.6205414697034808</v>
      </c>
      <c r="D24" s="54">
        <v>1003</v>
      </c>
      <c r="E24" s="53">
        <v>982</v>
      </c>
      <c r="F24" s="53">
        <v>1001</v>
      </c>
      <c r="G24" s="53">
        <v>993</v>
      </c>
      <c r="H24" s="79">
        <v>1017</v>
      </c>
      <c r="I24" s="54">
        <v>-14</v>
      </c>
      <c r="J24" s="55">
        <v>-1.3765978367748279</v>
      </c>
    </row>
    <row r="25" spans="1:15" ht="25" customHeight="1" x14ac:dyDescent="0.2">
      <c r="A25" s="120" t="s">
        <v>152</v>
      </c>
      <c r="B25" s="131" t="s">
        <v>153</v>
      </c>
      <c r="C25" s="52">
        <v>7.9587451654490762</v>
      </c>
      <c r="D25" s="54">
        <v>926</v>
      </c>
      <c r="E25" s="53">
        <v>923</v>
      </c>
      <c r="F25" s="53">
        <v>945</v>
      </c>
      <c r="G25" s="53">
        <v>922</v>
      </c>
      <c r="H25" s="79">
        <v>917</v>
      </c>
      <c r="I25" s="54">
        <v>9</v>
      </c>
      <c r="J25" s="55">
        <v>0.98146128680479827</v>
      </c>
    </row>
    <row r="26" spans="1:15" ht="25" customHeight="1" x14ac:dyDescent="0.2">
      <c r="A26" s="120" t="s">
        <v>219</v>
      </c>
      <c r="B26" s="131" t="s">
        <v>155</v>
      </c>
      <c r="C26" s="52">
        <v>7.9157713794585307</v>
      </c>
      <c r="D26" s="54">
        <v>921</v>
      </c>
      <c r="E26" s="53">
        <v>919</v>
      </c>
      <c r="F26" s="53">
        <v>942</v>
      </c>
      <c r="G26" s="53">
        <v>917</v>
      </c>
      <c r="H26" s="79">
        <v>911</v>
      </c>
      <c r="I26" s="54">
        <v>10</v>
      </c>
      <c r="J26" s="55">
        <v>1.0976948408342482</v>
      </c>
    </row>
    <row r="27" spans="1:15" ht="25" customHeight="1" x14ac:dyDescent="0.2">
      <c r="A27" s="128">
        <v>782.78300000000002</v>
      </c>
      <c r="B27" s="130" t="s">
        <v>156</v>
      </c>
      <c r="C27" s="52">
        <v>4.2973785990545764E-2</v>
      </c>
      <c r="D27" s="54">
        <v>5</v>
      </c>
      <c r="E27" s="53">
        <v>4</v>
      </c>
      <c r="F27" s="53">
        <v>3</v>
      </c>
      <c r="G27" s="53">
        <v>5</v>
      </c>
      <c r="H27" s="79">
        <v>6</v>
      </c>
      <c r="I27" s="54">
        <v>-1</v>
      </c>
      <c r="J27" s="55">
        <v>-16.666666666666668</v>
      </c>
    </row>
    <row r="28" spans="1:15" ht="25" customHeight="1" x14ac:dyDescent="0.2">
      <c r="A28" s="120" t="s">
        <v>157</v>
      </c>
      <c r="B28" s="126" t="s">
        <v>158</v>
      </c>
      <c r="C28" s="52">
        <v>2.0885259991405243</v>
      </c>
      <c r="D28" s="54">
        <v>243</v>
      </c>
      <c r="E28" s="53">
        <v>229</v>
      </c>
      <c r="F28" s="53">
        <v>230</v>
      </c>
      <c r="G28" s="53">
        <v>227</v>
      </c>
      <c r="H28" s="79">
        <v>225</v>
      </c>
      <c r="I28" s="54">
        <v>18</v>
      </c>
      <c r="J28" s="55">
        <v>8</v>
      </c>
    </row>
    <row r="29" spans="1:15" ht="25" customHeight="1" x14ac:dyDescent="0.2">
      <c r="A29" s="120" t="s">
        <v>159</v>
      </c>
      <c r="B29" s="126" t="s">
        <v>160</v>
      </c>
      <c r="C29" s="52">
        <v>2.5870219166308552</v>
      </c>
      <c r="D29" s="54">
        <v>301</v>
      </c>
      <c r="E29" s="53">
        <v>300</v>
      </c>
      <c r="F29" s="53">
        <v>303</v>
      </c>
      <c r="G29" s="53">
        <v>297</v>
      </c>
      <c r="H29" s="79">
        <v>306</v>
      </c>
      <c r="I29" s="54">
        <v>-5</v>
      </c>
      <c r="J29" s="55">
        <v>-1.6339869281045751</v>
      </c>
    </row>
    <row r="30" spans="1:15" ht="25" customHeight="1" x14ac:dyDescent="0.2">
      <c r="A30" s="120">
        <v>86</v>
      </c>
      <c r="B30" s="126" t="s">
        <v>161</v>
      </c>
      <c r="C30" s="52">
        <v>7.3571121615814352</v>
      </c>
      <c r="D30" s="54">
        <v>856</v>
      </c>
      <c r="E30" s="53">
        <v>865</v>
      </c>
      <c r="F30" s="53">
        <v>869</v>
      </c>
      <c r="G30" s="53">
        <v>853</v>
      </c>
      <c r="H30" s="79">
        <v>825</v>
      </c>
      <c r="I30" s="54">
        <v>31</v>
      </c>
      <c r="J30" s="55">
        <v>3.7575757575757578</v>
      </c>
    </row>
    <row r="31" spans="1:15" ht="25" customHeight="1" x14ac:dyDescent="0.2">
      <c r="A31" s="120">
        <v>87.88</v>
      </c>
      <c r="B31" s="131" t="s">
        <v>162</v>
      </c>
      <c r="C31" s="52">
        <v>5.0021486892995277</v>
      </c>
      <c r="D31" s="54">
        <v>582</v>
      </c>
      <c r="E31" s="53">
        <v>575</v>
      </c>
      <c r="F31" s="53">
        <v>582</v>
      </c>
      <c r="G31" s="53">
        <v>566</v>
      </c>
      <c r="H31" s="79">
        <v>555</v>
      </c>
      <c r="I31" s="54">
        <v>27</v>
      </c>
      <c r="J31" s="55">
        <v>4.8648648648648649</v>
      </c>
    </row>
    <row r="32" spans="1:15" ht="25" customHeight="1" x14ac:dyDescent="0.2">
      <c r="A32" s="120" t="s">
        <v>163</v>
      </c>
      <c r="B32" s="126" t="s">
        <v>164</v>
      </c>
      <c r="C32" s="52">
        <v>11.749033089815212</v>
      </c>
      <c r="D32" s="54">
        <v>1367</v>
      </c>
      <c r="E32" s="53">
        <v>1280</v>
      </c>
      <c r="F32" s="53">
        <v>1291</v>
      </c>
      <c r="G32" s="53">
        <v>1344</v>
      </c>
      <c r="H32" s="79">
        <v>1351</v>
      </c>
      <c r="I32" s="54">
        <v>16</v>
      </c>
      <c r="J32" s="55">
        <v>1.1843079200592155</v>
      </c>
    </row>
    <row r="33" spans="1:10" ht="25" customHeight="1" x14ac:dyDescent="0.2">
      <c r="A33" s="120"/>
      <c r="B33" s="131" t="s">
        <v>165</v>
      </c>
      <c r="C33" s="52">
        <v>0</v>
      </c>
      <c r="D33" s="54">
        <v>0</v>
      </c>
      <c r="E33" s="53">
        <v>0</v>
      </c>
      <c r="F33" s="53">
        <v>0</v>
      </c>
      <c r="G33" s="53">
        <v>0</v>
      </c>
      <c r="H33" s="79">
        <v>0</v>
      </c>
      <c r="I33" s="54">
        <v>0</v>
      </c>
      <c r="J33" s="55">
        <v>0</v>
      </c>
    </row>
    <row r="34" spans="1:10" ht="25" customHeight="1" x14ac:dyDescent="0.2">
      <c r="A34" s="132" t="s">
        <v>166</v>
      </c>
      <c r="B34" s="133"/>
      <c r="C34" s="183"/>
      <c r="D34" s="54"/>
      <c r="E34" s="53"/>
      <c r="F34" s="53"/>
      <c r="G34" s="53"/>
      <c r="H34" s="79"/>
      <c r="I34" s="76"/>
      <c r="J34" s="77"/>
    </row>
    <row r="35" spans="1:10" ht="25" customHeight="1" x14ac:dyDescent="0.2">
      <c r="A35" s="184" t="s">
        <v>126</v>
      </c>
      <c r="B35" s="185" t="s">
        <v>127</v>
      </c>
      <c r="C35" s="52">
        <v>2.5870219166308552</v>
      </c>
      <c r="D35" s="54">
        <v>301</v>
      </c>
      <c r="E35" s="53">
        <v>301</v>
      </c>
      <c r="F35" s="53">
        <v>331</v>
      </c>
      <c r="G35" s="53">
        <v>327</v>
      </c>
      <c r="H35" s="79">
        <v>323</v>
      </c>
      <c r="I35" s="54">
        <v>-22</v>
      </c>
      <c r="J35" s="55">
        <v>-6.8111455108359129</v>
      </c>
    </row>
    <row r="36" spans="1:10" ht="25" customHeight="1" x14ac:dyDescent="0.2">
      <c r="A36" s="186" t="s">
        <v>167</v>
      </c>
      <c r="B36" s="187" t="s">
        <v>168</v>
      </c>
      <c r="C36" s="52">
        <v>15.616673828964332</v>
      </c>
      <c r="D36" s="54">
        <v>1817</v>
      </c>
      <c r="E36" s="53">
        <v>1762</v>
      </c>
      <c r="F36" s="53">
        <v>1825</v>
      </c>
      <c r="G36" s="53">
        <v>1797</v>
      </c>
      <c r="H36" s="79">
        <v>1789</v>
      </c>
      <c r="I36" s="54">
        <v>28</v>
      </c>
      <c r="J36" s="55">
        <v>1.5651201788708775</v>
      </c>
    </row>
    <row r="37" spans="1:10" ht="25" customHeight="1" x14ac:dyDescent="0.2">
      <c r="A37" s="188" t="s">
        <v>169</v>
      </c>
      <c r="B37" s="189" t="s">
        <v>170</v>
      </c>
      <c r="C37" s="64">
        <v>81.796304254404816</v>
      </c>
      <c r="D37" s="82">
        <v>9517</v>
      </c>
      <c r="E37" s="83">
        <v>9138</v>
      </c>
      <c r="F37" s="83">
        <v>9214</v>
      </c>
      <c r="G37" s="83">
        <v>9277</v>
      </c>
      <c r="H37" s="84">
        <v>9240</v>
      </c>
      <c r="I37" s="82">
        <v>277</v>
      </c>
      <c r="J37" s="85">
        <v>2.997835497835498</v>
      </c>
    </row>
    <row r="38" spans="1:10" s="87" customFormat="1" ht="11.25" customHeight="1" x14ac:dyDescent="0.2">
      <c r="A38" s="232"/>
      <c r="B38" s="233"/>
      <c r="C38" s="233"/>
      <c r="D38" s="234"/>
      <c r="E38" s="234"/>
      <c r="F38" s="234"/>
      <c r="G38" s="234"/>
      <c r="H38" s="234"/>
      <c r="I38" s="234"/>
      <c r="J38" s="235" t="s">
        <v>37</v>
      </c>
    </row>
    <row r="39" spans="1:10" s="87" customFormat="1" ht="12.75" customHeight="1" x14ac:dyDescent="0.2">
      <c r="A39" s="236" t="s">
        <v>116</v>
      </c>
    </row>
    <row r="40" spans="1:10" s="60" customFormat="1" ht="30.65" customHeight="1" x14ac:dyDescent="0.2">
      <c r="A40" s="440" t="s">
        <v>221</v>
      </c>
      <c r="B40" s="440"/>
      <c r="C40" s="440"/>
      <c r="D40" s="440"/>
      <c r="E40" s="440"/>
      <c r="F40" s="440"/>
      <c r="G40" s="440"/>
      <c r="H40" s="440"/>
      <c r="I40" s="440"/>
      <c r="J40" s="440"/>
    </row>
    <row r="41" spans="1:10" s="60" customFormat="1" ht="12.75" customHeight="1" x14ac:dyDescent="0.2">
      <c r="A41" s="440"/>
      <c r="B41" s="440"/>
      <c r="C41" s="440"/>
      <c r="D41" s="440"/>
      <c r="E41" s="440"/>
      <c r="F41" s="440"/>
      <c r="G41" s="440"/>
      <c r="H41" s="440"/>
      <c r="I41" s="440"/>
      <c r="J41" s="440"/>
    </row>
    <row r="42" spans="1:10" s="60" customFormat="1" ht="12.75" customHeight="1" x14ac:dyDescent="0.2">
      <c r="C42" s="237"/>
      <c r="D42" s="238"/>
      <c r="E42" s="238"/>
      <c r="F42" s="238"/>
      <c r="G42" s="238"/>
      <c r="H42" s="238"/>
      <c r="I42" s="238"/>
      <c r="J42" s="239"/>
    </row>
    <row r="43" spans="1:10" ht="12.75" customHeight="1" x14ac:dyDescent="0.2"/>
  </sheetData>
  <mergeCells count="15">
    <mergeCell ref="A3:J3"/>
    <mergeCell ref="A4:J4"/>
    <mergeCell ref="A5:D5"/>
    <mergeCell ref="A7:B9"/>
    <mergeCell ref="C7:C10"/>
    <mergeCell ref="D7:H7"/>
    <mergeCell ref="I7:J8"/>
    <mergeCell ref="D8:D9"/>
    <mergeCell ref="E8:E9"/>
    <mergeCell ref="F8:F9"/>
    <mergeCell ref="G8:G9"/>
    <mergeCell ref="H8:H9"/>
    <mergeCell ref="A11:B11"/>
    <mergeCell ref="A40:J40"/>
    <mergeCell ref="A41:J41"/>
  </mergeCells>
  <printOptions horizontalCentered="1"/>
  <pageMargins left="0.7" right="0.7" top="0.75" bottom="0.75" header="0.3" footer="0.3"/>
  <pageSetup paperSize="9" scale="67"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6B553-7E10-448D-9BE5-44B62DEE84B8}">
  <sheetPr codeName="Tabelle16">
    <pageSetUpPr fitToPage="1"/>
  </sheetPr>
  <dimension ref="A1:O99"/>
  <sheetViews>
    <sheetView showGridLines="0" zoomScaleNormal="100" workbookViewId="0"/>
  </sheetViews>
  <sheetFormatPr defaultColWidth="8.81640625" defaultRowHeight="16" customHeight="1" x14ac:dyDescent="0.2"/>
  <cols>
    <col min="1" max="1" width="6.7265625" style="37" customWidth="1"/>
    <col min="2" max="2" width="29.7265625" style="37" customWidth="1"/>
    <col min="3" max="3" width="6.7265625" style="37" customWidth="1"/>
    <col min="4" max="4" width="9.7265625" style="61" customWidth="1"/>
    <col min="5" max="10" width="9.7265625" style="90" customWidth="1"/>
    <col min="11" max="11" width="9.7265625" style="91" customWidth="1"/>
    <col min="12" max="12" width="2.1796875" style="37" customWidth="1"/>
    <col min="13" max="16384" width="8.81640625" style="37"/>
  </cols>
  <sheetData>
    <row r="1" spans="1:15" customFormat="1" ht="36.75" customHeight="1" x14ac:dyDescent="0.25">
      <c r="A1" s="30"/>
      <c r="B1" s="31"/>
      <c r="C1" s="31"/>
      <c r="D1" s="31"/>
      <c r="E1" s="31"/>
      <c r="F1" s="31"/>
      <c r="G1" s="31"/>
      <c r="H1" s="31"/>
      <c r="I1" s="31"/>
      <c r="J1" s="31"/>
      <c r="K1" s="32" t="s">
        <v>40</v>
      </c>
    </row>
    <row r="2" spans="1:15" customFormat="1" ht="11.25" customHeight="1" x14ac:dyDescent="0.25">
      <c r="A2" s="33"/>
      <c r="B2" s="34"/>
      <c r="C2" s="34"/>
      <c r="D2" s="34"/>
      <c r="E2" s="34"/>
      <c r="F2" s="34"/>
      <c r="G2" s="34"/>
      <c r="H2" s="34"/>
      <c r="I2" s="34"/>
      <c r="J2" s="34"/>
      <c r="K2" s="34"/>
    </row>
    <row r="3" spans="1:15" s="35" customFormat="1" ht="20.149999999999999" customHeight="1" x14ac:dyDescent="0.35">
      <c r="A3" s="445" t="s">
        <v>333</v>
      </c>
      <c r="B3" s="445"/>
      <c r="C3" s="445"/>
      <c r="D3" s="445"/>
      <c r="E3" s="445"/>
      <c r="F3" s="445"/>
      <c r="G3" s="445"/>
      <c r="H3" s="445"/>
      <c r="I3" s="445"/>
      <c r="J3" s="445"/>
      <c r="K3" s="445"/>
    </row>
    <row r="4" spans="1:15" s="35" customFormat="1" ht="12" customHeight="1" x14ac:dyDescent="0.35">
      <c r="A4" s="446" t="s">
        <v>86</v>
      </c>
      <c r="B4" s="446"/>
      <c r="C4" s="446"/>
      <c r="D4" s="446"/>
      <c r="E4" s="446"/>
      <c r="F4" s="446"/>
      <c r="G4" s="446"/>
      <c r="H4" s="446"/>
      <c r="I4" s="446"/>
      <c r="J4" s="446"/>
      <c r="K4" s="446"/>
    </row>
    <row r="5" spans="1:15" s="35" customFormat="1" ht="12" customHeight="1" x14ac:dyDescent="0.35">
      <c r="A5" s="447" t="s">
        <v>42</v>
      </c>
      <c r="B5" s="447"/>
      <c r="C5" s="447"/>
      <c r="D5" s="447"/>
      <c r="E5" s="447"/>
      <c r="F5" s="165"/>
      <c r="G5" s="165"/>
      <c r="H5" s="165"/>
      <c r="I5" s="165"/>
      <c r="J5" s="165"/>
      <c r="K5" s="165"/>
    </row>
    <row r="6" spans="1:15" s="35" customFormat="1" ht="11.25" customHeight="1" x14ac:dyDescent="0.35">
      <c r="A6" s="145"/>
      <c r="B6" s="146"/>
      <c r="C6" s="146"/>
      <c r="D6" s="146"/>
      <c r="E6" s="146"/>
      <c r="F6" s="146"/>
      <c r="G6" s="146"/>
      <c r="H6" s="146"/>
      <c r="I6" s="146"/>
      <c r="J6" s="146"/>
    </row>
    <row r="7" spans="1:15" customFormat="1" ht="12" customHeight="1" x14ac:dyDescent="0.25">
      <c r="A7" s="462" t="s">
        <v>334</v>
      </c>
      <c r="B7" s="451"/>
      <c r="C7" s="451"/>
      <c r="D7" s="456" t="s">
        <v>88</v>
      </c>
      <c r="E7" s="459" t="s">
        <v>327</v>
      </c>
      <c r="F7" s="460"/>
      <c r="G7" s="460"/>
      <c r="H7" s="460"/>
      <c r="I7" s="461"/>
      <c r="J7" s="462" t="s">
        <v>176</v>
      </c>
      <c r="K7" s="463"/>
      <c r="L7" s="37"/>
      <c r="M7" s="37"/>
      <c r="N7" s="37"/>
      <c r="O7" s="37"/>
    </row>
    <row r="8" spans="1:15" ht="21.75" customHeight="1" x14ac:dyDescent="0.2">
      <c r="A8" s="452"/>
      <c r="B8" s="453"/>
      <c r="C8" s="453"/>
      <c r="D8" s="457"/>
      <c r="E8" s="438" t="s">
        <v>91</v>
      </c>
      <c r="F8" s="438" t="s">
        <v>92</v>
      </c>
      <c r="G8" s="438" t="s">
        <v>93</v>
      </c>
      <c r="H8" s="438" t="s">
        <v>94</v>
      </c>
      <c r="I8" s="438" t="s">
        <v>95</v>
      </c>
      <c r="J8" s="464"/>
      <c r="K8" s="465"/>
    </row>
    <row r="9" spans="1:15" ht="12" customHeight="1" x14ac:dyDescent="0.2">
      <c r="A9" s="452"/>
      <c r="B9" s="453"/>
      <c r="C9" s="453"/>
      <c r="D9" s="457"/>
      <c r="E9" s="439"/>
      <c r="F9" s="439"/>
      <c r="G9" s="439"/>
      <c r="H9" s="439"/>
      <c r="I9" s="439"/>
      <c r="J9" s="38" t="s">
        <v>96</v>
      </c>
      <c r="K9" s="39" t="s">
        <v>97</v>
      </c>
    </row>
    <row r="10" spans="1:15" ht="12" customHeight="1" x14ac:dyDescent="0.2">
      <c r="A10" s="454"/>
      <c r="B10" s="455"/>
      <c r="C10" s="455"/>
      <c r="D10" s="458"/>
      <c r="E10" s="40">
        <v>1</v>
      </c>
      <c r="F10" s="40">
        <v>2</v>
      </c>
      <c r="G10" s="40">
        <v>3</v>
      </c>
      <c r="H10" s="40">
        <v>4</v>
      </c>
      <c r="I10" s="40">
        <v>5</v>
      </c>
      <c r="J10" s="40">
        <v>6</v>
      </c>
      <c r="K10" s="40">
        <v>7</v>
      </c>
    </row>
    <row r="11" spans="1:15" s="119" customFormat="1" ht="18" customHeight="1" x14ac:dyDescent="0.25">
      <c r="A11" s="190" t="s">
        <v>98</v>
      </c>
      <c r="B11" s="191"/>
      <c r="C11" s="192"/>
      <c r="D11" s="193">
        <v>100</v>
      </c>
      <c r="E11" s="197">
        <v>11635</v>
      </c>
      <c r="F11" s="240">
        <v>11201</v>
      </c>
      <c r="G11" s="240">
        <v>11370</v>
      </c>
      <c r="H11" s="240">
        <v>11401</v>
      </c>
      <c r="I11" s="196">
        <v>11352</v>
      </c>
      <c r="J11" s="197">
        <v>283</v>
      </c>
      <c r="K11" s="198">
        <v>2.4929527836504581</v>
      </c>
    </row>
    <row r="12" spans="1:15" s="119" customFormat="1" ht="18" customHeight="1" x14ac:dyDescent="0.25">
      <c r="A12" s="199" t="s">
        <v>224</v>
      </c>
      <c r="B12" s="200"/>
      <c r="C12" s="200"/>
      <c r="D12" s="201"/>
      <c r="E12" s="214"/>
      <c r="F12" s="214"/>
      <c r="G12" s="214"/>
      <c r="H12" s="214"/>
      <c r="I12" s="214"/>
      <c r="J12" s="201"/>
      <c r="K12" s="202"/>
    </row>
    <row r="13" spans="1:15" s="119" customFormat="1" ht="16" customHeight="1" x14ac:dyDescent="0.25">
      <c r="A13" s="203" t="s">
        <v>225</v>
      </c>
      <c r="B13" s="204"/>
      <c r="C13" s="205"/>
      <c r="D13" s="206">
        <v>43.154275891706057</v>
      </c>
      <c r="E13" s="207">
        <v>5021</v>
      </c>
      <c r="F13" s="208">
        <v>4706</v>
      </c>
      <c r="G13" s="208">
        <v>4791</v>
      </c>
      <c r="H13" s="208">
        <v>4874</v>
      </c>
      <c r="I13" s="209">
        <v>4878</v>
      </c>
      <c r="J13" s="207">
        <v>143</v>
      </c>
      <c r="K13" s="210">
        <v>2.9315293152931527</v>
      </c>
    </row>
    <row r="14" spans="1:15" s="119" customFormat="1" ht="16" customHeight="1" x14ac:dyDescent="0.25">
      <c r="A14" s="203" t="s">
        <v>226</v>
      </c>
      <c r="B14" s="204"/>
      <c r="C14" s="205"/>
      <c r="D14" s="206">
        <v>43.248818220885262</v>
      </c>
      <c r="E14" s="207">
        <v>5032</v>
      </c>
      <c r="F14" s="208">
        <v>4920</v>
      </c>
      <c r="G14" s="208">
        <v>5033</v>
      </c>
      <c r="H14" s="208">
        <v>4994</v>
      </c>
      <c r="I14" s="209">
        <v>4947</v>
      </c>
      <c r="J14" s="207">
        <v>85</v>
      </c>
      <c r="K14" s="210">
        <v>1.7182130584192439</v>
      </c>
    </row>
    <row r="15" spans="1:15" s="119" customFormat="1" ht="16" customHeight="1" x14ac:dyDescent="0.25">
      <c r="A15" s="203" t="s">
        <v>227</v>
      </c>
      <c r="B15" s="204"/>
      <c r="C15" s="205"/>
      <c r="D15" s="206">
        <v>6.4718521701761924</v>
      </c>
      <c r="E15" s="207">
        <v>753</v>
      </c>
      <c r="F15" s="208">
        <v>743</v>
      </c>
      <c r="G15" s="208">
        <v>723</v>
      </c>
      <c r="H15" s="208">
        <v>709</v>
      </c>
      <c r="I15" s="209">
        <v>681</v>
      </c>
      <c r="J15" s="207">
        <v>72</v>
      </c>
      <c r="K15" s="210">
        <v>10.572687224669604</v>
      </c>
    </row>
    <row r="16" spans="1:15" s="119" customFormat="1" ht="16" customHeight="1" x14ac:dyDescent="0.25">
      <c r="A16" s="203" t="s">
        <v>228</v>
      </c>
      <c r="B16" s="204"/>
      <c r="C16" s="205"/>
      <c r="D16" s="206">
        <v>4.5036527718091968</v>
      </c>
      <c r="E16" s="207">
        <v>524</v>
      </c>
      <c r="F16" s="208">
        <v>532</v>
      </c>
      <c r="G16" s="208">
        <v>520</v>
      </c>
      <c r="H16" s="208">
        <v>510</v>
      </c>
      <c r="I16" s="209">
        <v>526</v>
      </c>
      <c r="J16" s="207">
        <v>-2</v>
      </c>
      <c r="K16" s="210">
        <v>-0.38022813688212925</v>
      </c>
    </row>
    <row r="17" spans="1:11" s="119" customFormat="1" ht="18" customHeight="1" x14ac:dyDescent="0.25">
      <c r="A17" s="211" t="s">
        <v>229</v>
      </c>
      <c r="B17" s="212"/>
      <c r="C17" s="212"/>
      <c r="D17" s="212"/>
      <c r="E17" s="213"/>
      <c r="F17" s="213"/>
      <c r="G17" s="213"/>
      <c r="H17" s="213"/>
      <c r="I17" s="213"/>
      <c r="J17" s="213"/>
      <c r="K17" s="213"/>
    </row>
    <row r="18" spans="1:11" s="119" customFormat="1" ht="14.15" customHeight="1" x14ac:dyDescent="0.25">
      <c r="A18" s="203" t="s">
        <v>230</v>
      </c>
      <c r="B18" s="204"/>
      <c r="C18" s="205"/>
      <c r="D18" s="206">
        <v>3.0081650193382039</v>
      </c>
      <c r="E18" s="208">
        <v>350</v>
      </c>
      <c r="F18" s="208">
        <v>331</v>
      </c>
      <c r="G18" s="208">
        <v>332</v>
      </c>
      <c r="H18" s="208">
        <v>344</v>
      </c>
      <c r="I18" s="208">
        <v>342</v>
      </c>
      <c r="J18" s="207">
        <v>8</v>
      </c>
      <c r="K18" s="210">
        <v>2.3391812865497075</v>
      </c>
    </row>
    <row r="19" spans="1:11" s="119" customFormat="1" ht="14.15" customHeight="1" x14ac:dyDescent="0.25">
      <c r="A19" s="203" t="s">
        <v>231</v>
      </c>
      <c r="B19" s="204"/>
      <c r="C19" s="205"/>
      <c r="D19" s="206">
        <v>4.2544048130640313</v>
      </c>
      <c r="E19" s="208">
        <v>495</v>
      </c>
      <c r="F19" s="208">
        <v>488</v>
      </c>
      <c r="G19" s="208">
        <v>495</v>
      </c>
      <c r="H19" s="208">
        <v>495</v>
      </c>
      <c r="I19" s="208">
        <v>481</v>
      </c>
      <c r="J19" s="207">
        <v>14</v>
      </c>
      <c r="K19" s="210">
        <v>2.9106029106029108</v>
      </c>
    </row>
    <row r="20" spans="1:11" s="119" customFormat="1" ht="14.15" customHeight="1" x14ac:dyDescent="0.25">
      <c r="A20" s="203" t="s">
        <v>232</v>
      </c>
      <c r="B20" s="204"/>
      <c r="C20" s="205"/>
      <c r="D20" s="206">
        <v>0.54146970348087664</v>
      </c>
      <c r="E20" s="431">
        <v>63</v>
      </c>
      <c r="F20" s="431">
        <v>61</v>
      </c>
      <c r="G20" s="431">
        <v>65</v>
      </c>
      <c r="H20" s="431">
        <v>69</v>
      </c>
      <c r="I20" s="431">
        <v>65</v>
      </c>
      <c r="J20" s="207">
        <v>-2</v>
      </c>
      <c r="K20" s="210">
        <v>-3.0769230769230771</v>
      </c>
    </row>
    <row r="21" spans="1:11" s="119" customFormat="1" ht="14.15" customHeight="1" x14ac:dyDescent="0.25">
      <c r="A21" s="203" t="s">
        <v>233</v>
      </c>
      <c r="B21" s="204"/>
      <c r="C21" s="205"/>
      <c r="D21" s="206">
        <v>10.95831542758917</v>
      </c>
      <c r="E21" s="208">
        <v>1275</v>
      </c>
      <c r="F21" s="208">
        <v>1276</v>
      </c>
      <c r="G21" s="208">
        <v>1317</v>
      </c>
      <c r="H21" s="208">
        <v>1305</v>
      </c>
      <c r="I21" s="208">
        <v>1293</v>
      </c>
      <c r="J21" s="207">
        <v>-18</v>
      </c>
      <c r="K21" s="210">
        <v>-1.3921113689095128</v>
      </c>
    </row>
    <row r="22" spans="1:11" s="119" customFormat="1" ht="14.15" customHeight="1" x14ac:dyDescent="0.25">
      <c r="A22" s="203" t="s">
        <v>234</v>
      </c>
      <c r="B22" s="204"/>
      <c r="C22" s="205"/>
      <c r="D22" s="206">
        <v>2.3807477438762357</v>
      </c>
      <c r="E22" s="208">
        <v>277</v>
      </c>
      <c r="F22" s="208">
        <v>278</v>
      </c>
      <c r="G22" s="208">
        <v>278</v>
      </c>
      <c r="H22" s="208">
        <v>275</v>
      </c>
      <c r="I22" s="208">
        <v>273</v>
      </c>
      <c r="J22" s="207">
        <v>4</v>
      </c>
      <c r="K22" s="210">
        <v>1.4652014652014651</v>
      </c>
    </row>
    <row r="23" spans="1:11" s="119" customFormat="1" ht="18" customHeight="1" x14ac:dyDescent="0.25">
      <c r="A23" s="199" t="s">
        <v>235</v>
      </c>
      <c r="B23" s="200"/>
      <c r="C23" s="200"/>
      <c r="D23" s="201"/>
      <c r="E23" s="214"/>
      <c r="F23" s="214"/>
      <c r="G23" s="214"/>
      <c r="H23" s="214"/>
      <c r="I23" s="214"/>
      <c r="J23" s="201"/>
      <c r="K23" s="202"/>
    </row>
    <row r="24" spans="1:11" s="119" customFormat="1" ht="13.5" customHeight="1" x14ac:dyDescent="0.25">
      <c r="A24" s="203">
        <v>11</v>
      </c>
      <c r="B24" s="204" t="s">
        <v>236</v>
      </c>
      <c r="C24" s="205"/>
      <c r="D24" s="206">
        <v>1.9338203695745595</v>
      </c>
      <c r="E24" s="207">
        <v>225</v>
      </c>
      <c r="F24" s="208">
        <v>234</v>
      </c>
      <c r="G24" s="208">
        <v>263</v>
      </c>
      <c r="H24" s="208">
        <v>259</v>
      </c>
      <c r="I24" s="209">
        <v>260</v>
      </c>
      <c r="J24" s="207">
        <v>-35</v>
      </c>
      <c r="K24" s="210">
        <v>-13.461538461538462</v>
      </c>
    </row>
    <row r="25" spans="1:11" s="119" customFormat="1" ht="13.5" customHeight="1" x14ac:dyDescent="0.25">
      <c r="A25" s="203" t="s">
        <v>237</v>
      </c>
      <c r="B25" s="204" t="s">
        <v>238</v>
      </c>
      <c r="C25" s="205"/>
      <c r="D25" s="206">
        <v>1.1602922217447358</v>
      </c>
      <c r="E25" s="207">
        <v>135</v>
      </c>
      <c r="F25" s="208">
        <v>134</v>
      </c>
      <c r="G25" s="208">
        <v>157</v>
      </c>
      <c r="H25" s="208">
        <v>161</v>
      </c>
      <c r="I25" s="209">
        <v>153</v>
      </c>
      <c r="J25" s="207">
        <v>-18</v>
      </c>
      <c r="K25" s="210">
        <v>-11.764705882352942</v>
      </c>
    </row>
    <row r="26" spans="1:11" s="119" customFormat="1" ht="13.5" customHeight="1" x14ac:dyDescent="0.25">
      <c r="A26" s="203">
        <v>12</v>
      </c>
      <c r="B26" s="204" t="s">
        <v>239</v>
      </c>
      <c r="C26" s="205"/>
      <c r="D26" s="206">
        <v>1.229050279329609</v>
      </c>
      <c r="E26" s="207">
        <v>143</v>
      </c>
      <c r="F26" s="208">
        <v>129</v>
      </c>
      <c r="G26" s="208">
        <v>130</v>
      </c>
      <c r="H26" s="208">
        <v>136</v>
      </c>
      <c r="I26" s="209">
        <v>132</v>
      </c>
      <c r="J26" s="207">
        <v>11</v>
      </c>
      <c r="K26" s="210">
        <v>8.3333333333333339</v>
      </c>
    </row>
    <row r="27" spans="1:11" s="119" customFormat="1" ht="13.5" customHeight="1" x14ac:dyDescent="0.25">
      <c r="A27" s="203">
        <v>21</v>
      </c>
      <c r="B27" s="204" t="s">
        <v>240</v>
      </c>
      <c r="C27" s="205"/>
      <c r="D27" s="206">
        <v>0.12892135797163731</v>
      </c>
      <c r="E27" s="430">
        <v>15</v>
      </c>
      <c r="F27" s="431">
        <v>16</v>
      </c>
      <c r="G27" s="431">
        <v>13</v>
      </c>
      <c r="H27" s="431">
        <v>14</v>
      </c>
      <c r="I27" s="432">
        <v>14</v>
      </c>
      <c r="J27" s="207">
        <v>1</v>
      </c>
      <c r="K27" s="210">
        <v>7.1428571428571432</v>
      </c>
    </row>
    <row r="28" spans="1:11" s="119" customFormat="1" ht="13.5" customHeight="1" x14ac:dyDescent="0.25">
      <c r="A28" s="203">
        <v>22</v>
      </c>
      <c r="B28" s="204" t="s">
        <v>241</v>
      </c>
      <c r="C28" s="205"/>
      <c r="D28" s="206">
        <v>0.57584873227331324</v>
      </c>
      <c r="E28" s="430">
        <v>67</v>
      </c>
      <c r="F28" s="431">
        <v>59</v>
      </c>
      <c r="G28" s="431">
        <v>56</v>
      </c>
      <c r="H28" s="431">
        <v>53</v>
      </c>
      <c r="I28" s="432">
        <v>56</v>
      </c>
      <c r="J28" s="207">
        <v>11</v>
      </c>
      <c r="K28" s="210">
        <v>19.642857142857142</v>
      </c>
    </row>
    <row r="29" spans="1:11" s="119" customFormat="1" ht="13.5" customHeight="1" x14ac:dyDescent="0.25">
      <c r="A29" s="203">
        <v>23</v>
      </c>
      <c r="B29" s="204" t="s">
        <v>242</v>
      </c>
      <c r="C29" s="205"/>
      <c r="D29" s="206">
        <v>0.25784271594327463</v>
      </c>
      <c r="E29" s="430">
        <v>30</v>
      </c>
      <c r="F29" s="431">
        <v>30</v>
      </c>
      <c r="G29" s="431">
        <v>30</v>
      </c>
      <c r="H29" s="431">
        <v>32</v>
      </c>
      <c r="I29" s="432">
        <v>36</v>
      </c>
      <c r="J29" s="207">
        <v>-6</v>
      </c>
      <c r="K29" s="210">
        <v>-16.666666666666668</v>
      </c>
    </row>
    <row r="30" spans="1:11" s="119" customFormat="1" ht="13.5" customHeight="1" x14ac:dyDescent="0.25">
      <c r="A30" s="203">
        <v>24</v>
      </c>
      <c r="B30" s="204" t="s">
        <v>243</v>
      </c>
      <c r="C30" s="205"/>
      <c r="D30" s="206">
        <v>0.9798023205844435</v>
      </c>
      <c r="E30" s="207">
        <v>114</v>
      </c>
      <c r="F30" s="208">
        <v>110</v>
      </c>
      <c r="G30" s="208">
        <v>111</v>
      </c>
      <c r="H30" s="208">
        <v>110</v>
      </c>
      <c r="I30" s="209">
        <v>105</v>
      </c>
      <c r="J30" s="207">
        <v>9</v>
      </c>
      <c r="K30" s="210">
        <v>8.5714285714285712</v>
      </c>
    </row>
    <row r="31" spans="1:11" s="119" customFormat="1" ht="13.5" customHeight="1" x14ac:dyDescent="0.25">
      <c r="A31" s="203">
        <v>25</v>
      </c>
      <c r="B31" s="204" t="s">
        <v>244</v>
      </c>
      <c r="C31" s="205"/>
      <c r="D31" s="206">
        <v>1.3064030941125913</v>
      </c>
      <c r="E31" s="207">
        <v>152</v>
      </c>
      <c r="F31" s="208">
        <v>145</v>
      </c>
      <c r="G31" s="208">
        <v>134</v>
      </c>
      <c r="H31" s="208">
        <v>138</v>
      </c>
      <c r="I31" s="209">
        <v>141</v>
      </c>
      <c r="J31" s="207">
        <v>11</v>
      </c>
      <c r="K31" s="210">
        <v>7.8014184397163122</v>
      </c>
    </row>
    <row r="32" spans="1:11" s="119" customFormat="1" ht="13.5" customHeight="1" x14ac:dyDescent="0.25">
      <c r="A32" s="203">
        <v>26</v>
      </c>
      <c r="B32" s="204" t="s">
        <v>245</v>
      </c>
      <c r="C32" s="205"/>
      <c r="D32" s="206">
        <v>0.9368285345938977</v>
      </c>
      <c r="E32" s="207">
        <v>109</v>
      </c>
      <c r="F32" s="208">
        <v>102</v>
      </c>
      <c r="G32" s="208">
        <v>103</v>
      </c>
      <c r="H32" s="208">
        <v>100</v>
      </c>
      <c r="I32" s="209">
        <v>101</v>
      </c>
      <c r="J32" s="207">
        <v>8</v>
      </c>
      <c r="K32" s="210">
        <v>7.9207920792079207</v>
      </c>
    </row>
    <row r="33" spans="1:11" s="119" customFormat="1" ht="13.5" customHeight="1" x14ac:dyDescent="0.25">
      <c r="A33" s="203">
        <v>27</v>
      </c>
      <c r="B33" s="204" t="s">
        <v>246</v>
      </c>
      <c r="C33" s="205"/>
      <c r="D33" s="206">
        <v>0.4813064030941126</v>
      </c>
      <c r="E33" s="430">
        <v>56</v>
      </c>
      <c r="F33" s="431">
        <v>61</v>
      </c>
      <c r="G33" s="431">
        <v>59</v>
      </c>
      <c r="H33" s="431">
        <v>58</v>
      </c>
      <c r="I33" s="432">
        <v>55</v>
      </c>
      <c r="J33" s="207">
        <v>1</v>
      </c>
      <c r="K33" s="210">
        <v>1.8181818181818181</v>
      </c>
    </row>
    <row r="34" spans="1:11" s="119" customFormat="1" ht="13.5" customHeight="1" x14ac:dyDescent="0.25">
      <c r="A34" s="203">
        <v>28</v>
      </c>
      <c r="B34" s="204" t="s">
        <v>247</v>
      </c>
      <c r="C34" s="205"/>
      <c r="D34" s="206">
        <v>0.2406532015470563</v>
      </c>
      <c r="E34" s="430">
        <v>28</v>
      </c>
      <c r="F34" s="431">
        <v>26</v>
      </c>
      <c r="G34" s="431">
        <v>30</v>
      </c>
      <c r="H34" s="431">
        <v>27</v>
      </c>
      <c r="I34" s="432">
        <v>27</v>
      </c>
      <c r="J34" s="207">
        <v>1</v>
      </c>
      <c r="K34" s="210">
        <v>3.7037037037037037</v>
      </c>
    </row>
    <row r="35" spans="1:11" s="119" customFormat="1" ht="13.5" customHeight="1" x14ac:dyDescent="0.25">
      <c r="A35" s="203">
        <v>29</v>
      </c>
      <c r="B35" s="204" t="s">
        <v>248</v>
      </c>
      <c r="C35" s="205"/>
      <c r="D35" s="206">
        <v>4.0481306403094113</v>
      </c>
      <c r="E35" s="207">
        <v>471</v>
      </c>
      <c r="F35" s="208">
        <v>454</v>
      </c>
      <c r="G35" s="208">
        <v>434</v>
      </c>
      <c r="H35" s="208">
        <v>466</v>
      </c>
      <c r="I35" s="209">
        <v>450</v>
      </c>
      <c r="J35" s="207">
        <v>21</v>
      </c>
      <c r="K35" s="210">
        <v>4.666666666666667</v>
      </c>
    </row>
    <row r="36" spans="1:11" s="119" customFormat="1" ht="13.5" customHeight="1" x14ac:dyDescent="0.25">
      <c r="A36" s="203" t="s">
        <v>249</v>
      </c>
      <c r="B36" s="204" t="s">
        <v>250</v>
      </c>
      <c r="C36" s="205"/>
      <c r="D36" s="206">
        <v>0.71336484744305972</v>
      </c>
      <c r="E36" s="430">
        <v>83</v>
      </c>
      <c r="F36" s="208" t="s">
        <v>548</v>
      </c>
      <c r="G36" s="208" t="s">
        <v>548</v>
      </c>
      <c r="H36" s="431">
        <v>76</v>
      </c>
      <c r="I36" s="209" t="s">
        <v>548</v>
      </c>
      <c r="J36" s="207" t="s">
        <v>548</v>
      </c>
      <c r="K36" s="210" t="s">
        <v>548</v>
      </c>
    </row>
    <row r="37" spans="1:11" s="119" customFormat="1" ht="13.5" customHeight="1" x14ac:dyDescent="0.25">
      <c r="A37" s="203" t="s">
        <v>251</v>
      </c>
      <c r="B37" s="204" t="s">
        <v>252</v>
      </c>
      <c r="C37" s="205"/>
      <c r="D37" s="206">
        <v>3.3089815212720239</v>
      </c>
      <c r="E37" s="207">
        <v>385</v>
      </c>
      <c r="F37" s="208">
        <v>369</v>
      </c>
      <c r="G37" s="208">
        <v>355</v>
      </c>
      <c r="H37" s="208">
        <v>387</v>
      </c>
      <c r="I37" s="209">
        <v>373</v>
      </c>
      <c r="J37" s="207">
        <v>12</v>
      </c>
      <c r="K37" s="210">
        <v>3.2171581769436997</v>
      </c>
    </row>
    <row r="38" spans="1:11" s="119" customFormat="1" ht="13.5" customHeight="1" x14ac:dyDescent="0.25">
      <c r="A38" s="203">
        <v>31</v>
      </c>
      <c r="B38" s="204" t="s">
        <v>253</v>
      </c>
      <c r="C38" s="205"/>
      <c r="D38" s="206">
        <v>0.26643747314138377</v>
      </c>
      <c r="E38" s="430">
        <v>31</v>
      </c>
      <c r="F38" s="431">
        <v>30</v>
      </c>
      <c r="G38" s="431">
        <v>30</v>
      </c>
      <c r="H38" s="431">
        <v>31</v>
      </c>
      <c r="I38" s="432">
        <v>30</v>
      </c>
      <c r="J38" s="207">
        <v>1</v>
      </c>
      <c r="K38" s="210">
        <v>3.3333333333333335</v>
      </c>
    </row>
    <row r="39" spans="1:11" s="119" customFormat="1" ht="13.5" customHeight="1" x14ac:dyDescent="0.25">
      <c r="A39" s="203">
        <v>32</v>
      </c>
      <c r="B39" s="204" t="s">
        <v>254</v>
      </c>
      <c r="C39" s="205"/>
      <c r="D39" s="206">
        <v>1.0313708637730985</v>
      </c>
      <c r="E39" s="207">
        <v>120</v>
      </c>
      <c r="F39" s="208">
        <v>113</v>
      </c>
      <c r="G39" s="208">
        <v>122</v>
      </c>
      <c r="H39" s="208">
        <v>126</v>
      </c>
      <c r="I39" s="209">
        <v>131</v>
      </c>
      <c r="J39" s="207">
        <v>-11</v>
      </c>
      <c r="K39" s="210">
        <v>-8.3969465648854964</v>
      </c>
    </row>
    <row r="40" spans="1:11" s="119" customFormat="1" ht="13.5" customHeight="1" x14ac:dyDescent="0.25">
      <c r="A40" s="203">
        <v>33</v>
      </c>
      <c r="B40" s="204" t="s">
        <v>255</v>
      </c>
      <c r="C40" s="205"/>
      <c r="D40" s="206">
        <v>0.78212290502793291</v>
      </c>
      <c r="E40" s="430">
        <v>91</v>
      </c>
      <c r="F40" s="431">
        <v>81</v>
      </c>
      <c r="G40" s="431">
        <v>79</v>
      </c>
      <c r="H40" s="431">
        <v>83</v>
      </c>
      <c r="I40" s="432">
        <v>86</v>
      </c>
      <c r="J40" s="207">
        <v>5</v>
      </c>
      <c r="K40" s="210">
        <v>5.8139534883720927</v>
      </c>
    </row>
    <row r="41" spans="1:11" s="119" customFormat="1" ht="13.5" customHeight="1" x14ac:dyDescent="0.25">
      <c r="A41" s="203">
        <v>34</v>
      </c>
      <c r="B41" s="204" t="s">
        <v>256</v>
      </c>
      <c r="C41" s="205"/>
      <c r="D41" s="206">
        <v>7.1250537172324879</v>
      </c>
      <c r="E41" s="207">
        <v>829</v>
      </c>
      <c r="F41" s="208">
        <v>836</v>
      </c>
      <c r="G41" s="208">
        <v>867</v>
      </c>
      <c r="H41" s="208">
        <v>854</v>
      </c>
      <c r="I41" s="209">
        <v>847</v>
      </c>
      <c r="J41" s="207">
        <v>-18</v>
      </c>
      <c r="K41" s="210">
        <v>-2.1251475796930341</v>
      </c>
    </row>
    <row r="42" spans="1:11" s="119" customFormat="1" ht="13.5" customHeight="1" x14ac:dyDescent="0.25">
      <c r="A42" s="203">
        <v>41</v>
      </c>
      <c r="B42" s="204" t="s">
        <v>257</v>
      </c>
      <c r="C42" s="205"/>
      <c r="D42" s="206">
        <v>0.19767941555651053</v>
      </c>
      <c r="E42" s="430">
        <v>23</v>
      </c>
      <c r="F42" s="431">
        <v>23</v>
      </c>
      <c r="G42" s="431">
        <v>24</v>
      </c>
      <c r="H42" s="431">
        <v>25</v>
      </c>
      <c r="I42" s="432">
        <v>19</v>
      </c>
      <c r="J42" s="207">
        <v>4</v>
      </c>
      <c r="K42" s="210">
        <v>21.05263157894737</v>
      </c>
    </row>
    <row r="43" spans="1:11" s="119" customFormat="1" ht="13.5" customHeight="1" x14ac:dyDescent="0.25">
      <c r="A43" s="203">
        <v>42</v>
      </c>
      <c r="B43" s="204" t="s">
        <v>258</v>
      </c>
      <c r="C43" s="205"/>
      <c r="D43" s="206">
        <v>2.578427159432746E-2</v>
      </c>
      <c r="E43" s="430">
        <v>3</v>
      </c>
      <c r="F43" s="431">
        <v>4</v>
      </c>
      <c r="G43" s="208" t="s">
        <v>548</v>
      </c>
      <c r="H43" s="208" t="s">
        <v>548</v>
      </c>
      <c r="I43" s="432">
        <v>3</v>
      </c>
      <c r="J43" s="207">
        <v>0</v>
      </c>
      <c r="K43" s="210">
        <v>0</v>
      </c>
    </row>
    <row r="44" spans="1:11" s="119" customFormat="1" ht="13.5" customHeight="1" x14ac:dyDescent="0.25">
      <c r="A44" s="203">
        <v>43</v>
      </c>
      <c r="B44" s="204" t="s">
        <v>259</v>
      </c>
      <c r="C44" s="205"/>
      <c r="D44" s="206">
        <v>0.33519553072625696</v>
      </c>
      <c r="E44" s="430">
        <v>39</v>
      </c>
      <c r="F44" s="431">
        <v>38</v>
      </c>
      <c r="G44" s="431">
        <v>39</v>
      </c>
      <c r="H44" s="431">
        <v>41</v>
      </c>
      <c r="I44" s="432">
        <v>44</v>
      </c>
      <c r="J44" s="207">
        <v>-5</v>
      </c>
      <c r="K44" s="210">
        <v>-11.363636363636363</v>
      </c>
    </row>
    <row r="45" spans="1:11" s="119" customFormat="1" ht="13.5" customHeight="1" x14ac:dyDescent="0.25">
      <c r="A45" s="203">
        <v>51</v>
      </c>
      <c r="B45" s="204" t="s">
        <v>260</v>
      </c>
      <c r="C45" s="205"/>
      <c r="D45" s="206">
        <v>4.9849591749033086</v>
      </c>
      <c r="E45" s="207">
        <v>580</v>
      </c>
      <c r="F45" s="208">
        <v>564</v>
      </c>
      <c r="G45" s="208">
        <v>569</v>
      </c>
      <c r="H45" s="208">
        <v>570</v>
      </c>
      <c r="I45" s="209">
        <v>570</v>
      </c>
      <c r="J45" s="207">
        <v>10</v>
      </c>
      <c r="K45" s="210">
        <v>1.7543859649122806</v>
      </c>
    </row>
    <row r="46" spans="1:11" s="119" customFormat="1" ht="13.5" customHeight="1" x14ac:dyDescent="0.25">
      <c r="A46" s="203" t="s">
        <v>261</v>
      </c>
      <c r="B46" s="204" t="s">
        <v>262</v>
      </c>
      <c r="C46" s="205"/>
      <c r="D46" s="206">
        <v>4.6755479157713795</v>
      </c>
      <c r="E46" s="207">
        <v>544</v>
      </c>
      <c r="F46" s="208">
        <v>531</v>
      </c>
      <c r="G46" s="208">
        <v>537</v>
      </c>
      <c r="H46" s="208">
        <v>539</v>
      </c>
      <c r="I46" s="209">
        <v>543</v>
      </c>
      <c r="J46" s="207">
        <v>1</v>
      </c>
      <c r="K46" s="210">
        <v>0.18416206261510129</v>
      </c>
    </row>
    <row r="47" spans="1:11" s="119" customFormat="1" ht="13.5" customHeight="1" x14ac:dyDescent="0.25">
      <c r="A47" s="203"/>
      <c r="B47" s="204" t="s">
        <v>263</v>
      </c>
      <c r="C47" s="205"/>
      <c r="D47" s="206">
        <v>2.2260421143102707</v>
      </c>
      <c r="E47" s="207">
        <v>259</v>
      </c>
      <c r="F47" s="208">
        <v>241</v>
      </c>
      <c r="G47" s="208">
        <v>245</v>
      </c>
      <c r="H47" s="208">
        <v>236</v>
      </c>
      <c r="I47" s="209">
        <v>237</v>
      </c>
      <c r="J47" s="207">
        <v>22</v>
      </c>
      <c r="K47" s="210">
        <v>9.2827004219409286</v>
      </c>
    </row>
    <row r="48" spans="1:11" s="119" customFormat="1" ht="13.5" customHeight="1" x14ac:dyDescent="0.25">
      <c r="A48" s="203">
        <v>52</v>
      </c>
      <c r="B48" s="204" t="s">
        <v>264</v>
      </c>
      <c r="C48" s="205"/>
      <c r="D48" s="206">
        <v>5.4748603351955305</v>
      </c>
      <c r="E48" s="207">
        <v>637</v>
      </c>
      <c r="F48" s="208">
        <v>623</v>
      </c>
      <c r="G48" s="208">
        <v>612</v>
      </c>
      <c r="H48" s="208">
        <v>631</v>
      </c>
      <c r="I48" s="209">
        <v>611</v>
      </c>
      <c r="J48" s="207">
        <v>26</v>
      </c>
      <c r="K48" s="210">
        <v>4.2553191489361701</v>
      </c>
    </row>
    <row r="49" spans="1:11" s="119" customFormat="1" ht="13.5" customHeight="1" x14ac:dyDescent="0.25">
      <c r="A49" s="203" t="s">
        <v>265</v>
      </c>
      <c r="B49" s="204" t="s">
        <v>266</v>
      </c>
      <c r="C49" s="205"/>
      <c r="D49" s="206">
        <v>5.2170176192522559</v>
      </c>
      <c r="E49" s="207">
        <v>607</v>
      </c>
      <c r="F49" s="208">
        <v>597</v>
      </c>
      <c r="G49" s="208">
        <v>581</v>
      </c>
      <c r="H49" s="208">
        <v>599</v>
      </c>
      <c r="I49" s="209">
        <v>579</v>
      </c>
      <c r="J49" s="207">
        <v>28</v>
      </c>
      <c r="K49" s="210">
        <v>4.8359240069084626</v>
      </c>
    </row>
    <row r="50" spans="1:11" s="119" customFormat="1" ht="13.5" customHeight="1" x14ac:dyDescent="0.25">
      <c r="A50" s="203">
        <v>53</v>
      </c>
      <c r="B50" s="204" t="s">
        <v>267</v>
      </c>
      <c r="C50" s="205"/>
      <c r="D50" s="206">
        <v>1.7189514396218306</v>
      </c>
      <c r="E50" s="207">
        <v>200</v>
      </c>
      <c r="F50" s="208">
        <v>194</v>
      </c>
      <c r="G50" s="208">
        <v>200</v>
      </c>
      <c r="H50" s="208">
        <v>210</v>
      </c>
      <c r="I50" s="209">
        <v>204</v>
      </c>
      <c r="J50" s="207">
        <v>-4</v>
      </c>
      <c r="K50" s="210">
        <v>-1.9607843137254901</v>
      </c>
    </row>
    <row r="51" spans="1:11" s="119" customFormat="1" ht="13.5" customHeight="1" x14ac:dyDescent="0.25">
      <c r="A51" s="203" t="s">
        <v>268</v>
      </c>
      <c r="B51" s="204" t="s">
        <v>269</v>
      </c>
      <c r="C51" s="205"/>
      <c r="D51" s="206">
        <v>1.5728405672539751</v>
      </c>
      <c r="E51" s="207">
        <v>183</v>
      </c>
      <c r="F51" s="208">
        <v>175</v>
      </c>
      <c r="G51" s="208">
        <v>182</v>
      </c>
      <c r="H51" s="208">
        <v>191</v>
      </c>
      <c r="I51" s="209">
        <v>185</v>
      </c>
      <c r="J51" s="207">
        <v>-2</v>
      </c>
      <c r="K51" s="210">
        <v>-1.0810810810810811</v>
      </c>
    </row>
    <row r="52" spans="1:11" s="119" customFormat="1" ht="13.5" customHeight="1" x14ac:dyDescent="0.25">
      <c r="A52" s="203">
        <v>54</v>
      </c>
      <c r="B52" s="204" t="s">
        <v>270</v>
      </c>
      <c r="C52" s="205"/>
      <c r="D52" s="206">
        <v>10.502793296089385</v>
      </c>
      <c r="E52" s="207">
        <v>1222</v>
      </c>
      <c r="F52" s="208">
        <v>1227</v>
      </c>
      <c r="G52" s="208">
        <v>1274</v>
      </c>
      <c r="H52" s="208">
        <v>1245</v>
      </c>
      <c r="I52" s="209">
        <v>1233</v>
      </c>
      <c r="J52" s="207">
        <v>-11</v>
      </c>
      <c r="K52" s="210">
        <v>-0.89213300892133007</v>
      </c>
    </row>
    <row r="53" spans="1:11" s="119" customFormat="1" ht="13.5" customHeight="1" x14ac:dyDescent="0.25">
      <c r="A53" s="203">
        <v>61</v>
      </c>
      <c r="B53" s="204" t="s">
        <v>271</v>
      </c>
      <c r="C53" s="205"/>
      <c r="D53" s="206">
        <v>0.72195960464116893</v>
      </c>
      <c r="E53" s="430">
        <v>84</v>
      </c>
      <c r="F53" s="431">
        <v>87</v>
      </c>
      <c r="G53" s="431">
        <v>88</v>
      </c>
      <c r="H53" s="431">
        <v>93</v>
      </c>
      <c r="I53" s="432">
        <v>85</v>
      </c>
      <c r="J53" s="207">
        <v>-1</v>
      </c>
      <c r="K53" s="210">
        <v>-1.1764705882352942</v>
      </c>
    </row>
    <row r="54" spans="1:11" s="119" customFormat="1" ht="13.5" customHeight="1" x14ac:dyDescent="0.25">
      <c r="A54" s="203">
        <v>62</v>
      </c>
      <c r="B54" s="204" t="s">
        <v>272</v>
      </c>
      <c r="C54" s="205"/>
      <c r="D54" s="206">
        <v>10.159003008165019</v>
      </c>
      <c r="E54" s="207">
        <v>1182</v>
      </c>
      <c r="F54" s="208">
        <v>1064</v>
      </c>
      <c r="G54" s="208">
        <v>1121</v>
      </c>
      <c r="H54" s="208">
        <v>1111</v>
      </c>
      <c r="I54" s="209">
        <v>1143</v>
      </c>
      <c r="J54" s="207">
        <v>39</v>
      </c>
      <c r="K54" s="210">
        <v>3.4120734908136483</v>
      </c>
    </row>
    <row r="55" spans="1:11" s="119" customFormat="1" ht="13.5" customHeight="1" x14ac:dyDescent="0.25">
      <c r="A55" s="203">
        <v>63</v>
      </c>
      <c r="B55" s="204" t="s">
        <v>273</v>
      </c>
      <c r="C55" s="205"/>
      <c r="D55" s="206">
        <v>11.37086377309841</v>
      </c>
      <c r="E55" s="207">
        <v>1323</v>
      </c>
      <c r="F55" s="208">
        <v>1125</v>
      </c>
      <c r="G55" s="208">
        <v>1130</v>
      </c>
      <c r="H55" s="208">
        <v>1203</v>
      </c>
      <c r="I55" s="209">
        <v>1211</v>
      </c>
      <c r="J55" s="207">
        <v>112</v>
      </c>
      <c r="K55" s="210">
        <v>9.2485549132947984</v>
      </c>
    </row>
    <row r="56" spans="1:11" s="119" customFormat="1" ht="13.5" customHeight="1" x14ac:dyDescent="0.25">
      <c r="A56" s="203" t="s">
        <v>274</v>
      </c>
      <c r="B56" s="204" t="s">
        <v>275</v>
      </c>
      <c r="C56" s="205"/>
      <c r="D56" s="206">
        <v>0.84228620541469701</v>
      </c>
      <c r="E56" s="430">
        <v>98</v>
      </c>
      <c r="F56" s="431">
        <v>82</v>
      </c>
      <c r="G56" s="431">
        <v>82</v>
      </c>
      <c r="H56" s="431">
        <v>94</v>
      </c>
      <c r="I56" s="432">
        <v>90</v>
      </c>
      <c r="J56" s="207">
        <v>8</v>
      </c>
      <c r="K56" s="210">
        <v>8.8888888888888893</v>
      </c>
    </row>
    <row r="57" spans="1:11" s="119" customFormat="1" ht="13.5" customHeight="1" x14ac:dyDescent="0.25">
      <c r="A57" s="203" t="s">
        <v>276</v>
      </c>
      <c r="B57" s="204" t="s">
        <v>277</v>
      </c>
      <c r="C57" s="205"/>
      <c r="D57" s="206">
        <v>9.2909325311559954</v>
      </c>
      <c r="E57" s="207">
        <v>1081</v>
      </c>
      <c r="F57" s="208">
        <v>940</v>
      </c>
      <c r="G57" s="208">
        <v>942</v>
      </c>
      <c r="H57" s="208">
        <v>1007</v>
      </c>
      <c r="I57" s="209">
        <v>1013</v>
      </c>
      <c r="J57" s="207">
        <v>68</v>
      </c>
      <c r="K57" s="210">
        <v>6.712734452122409</v>
      </c>
    </row>
    <row r="58" spans="1:11" s="119" customFormat="1" ht="13.5" customHeight="1" x14ac:dyDescent="0.25">
      <c r="A58" s="203">
        <v>71</v>
      </c>
      <c r="B58" s="204" t="s">
        <v>278</v>
      </c>
      <c r="C58" s="205"/>
      <c r="D58" s="206">
        <v>15.33304684142673</v>
      </c>
      <c r="E58" s="207">
        <v>1784</v>
      </c>
      <c r="F58" s="208">
        <v>1764</v>
      </c>
      <c r="G58" s="208">
        <v>1782</v>
      </c>
      <c r="H58" s="208">
        <v>1741</v>
      </c>
      <c r="I58" s="209">
        <v>1725</v>
      </c>
      <c r="J58" s="207">
        <v>59</v>
      </c>
      <c r="K58" s="210">
        <v>3.4202898550724639</v>
      </c>
    </row>
    <row r="59" spans="1:11" s="119" customFormat="1" ht="13.5" customHeight="1" x14ac:dyDescent="0.25">
      <c r="A59" s="203" t="s">
        <v>279</v>
      </c>
      <c r="B59" s="204" t="s">
        <v>280</v>
      </c>
      <c r="C59" s="205"/>
      <c r="D59" s="206">
        <v>1.4009454232917919</v>
      </c>
      <c r="E59" s="207">
        <v>163</v>
      </c>
      <c r="F59" s="208">
        <v>166</v>
      </c>
      <c r="G59" s="208">
        <v>169</v>
      </c>
      <c r="H59" s="208">
        <v>166</v>
      </c>
      <c r="I59" s="209">
        <v>167</v>
      </c>
      <c r="J59" s="207">
        <v>-4</v>
      </c>
      <c r="K59" s="210">
        <v>-2.3952095808383231</v>
      </c>
    </row>
    <row r="60" spans="1:11" s="119" customFormat="1" ht="13.5" customHeight="1" x14ac:dyDescent="0.25">
      <c r="A60" s="203" t="s">
        <v>281</v>
      </c>
      <c r="B60" s="204" t="s">
        <v>282</v>
      </c>
      <c r="C60" s="205"/>
      <c r="D60" s="206">
        <v>13.064030941125914</v>
      </c>
      <c r="E60" s="207">
        <v>1520</v>
      </c>
      <c r="F60" s="208">
        <v>1487</v>
      </c>
      <c r="G60" s="208">
        <v>1505</v>
      </c>
      <c r="H60" s="208">
        <v>1469</v>
      </c>
      <c r="I60" s="209">
        <v>1451</v>
      </c>
      <c r="J60" s="207">
        <v>69</v>
      </c>
      <c r="K60" s="210">
        <v>4.755341144038594</v>
      </c>
    </row>
    <row r="61" spans="1:11" s="119" customFormat="1" ht="13.5" customHeight="1" x14ac:dyDescent="0.25">
      <c r="A61" s="203">
        <v>72</v>
      </c>
      <c r="B61" s="204" t="s">
        <v>283</v>
      </c>
      <c r="C61" s="205"/>
      <c r="D61" s="206">
        <v>1.9939836699613236</v>
      </c>
      <c r="E61" s="207">
        <v>232</v>
      </c>
      <c r="F61" s="208">
        <v>225</v>
      </c>
      <c r="G61" s="208">
        <v>235</v>
      </c>
      <c r="H61" s="208">
        <v>226</v>
      </c>
      <c r="I61" s="209">
        <v>239</v>
      </c>
      <c r="J61" s="207">
        <v>-7</v>
      </c>
      <c r="K61" s="210">
        <v>-2.9288702928870292</v>
      </c>
    </row>
    <row r="62" spans="1:11" s="119" customFormat="1" ht="13.5" customHeight="1" x14ac:dyDescent="0.25">
      <c r="A62" s="203" t="s">
        <v>284</v>
      </c>
      <c r="B62" s="204" t="s">
        <v>285</v>
      </c>
      <c r="C62" s="205"/>
      <c r="D62" s="206">
        <v>0.18908465835840138</v>
      </c>
      <c r="E62" s="430">
        <v>22</v>
      </c>
      <c r="F62" s="431">
        <v>22</v>
      </c>
      <c r="G62" s="431">
        <v>23</v>
      </c>
      <c r="H62" s="431">
        <v>21</v>
      </c>
      <c r="I62" s="432">
        <v>26</v>
      </c>
      <c r="J62" s="207">
        <v>-4</v>
      </c>
      <c r="K62" s="210">
        <v>-15.384615384615385</v>
      </c>
    </row>
    <row r="63" spans="1:11" s="119" customFormat="1" ht="13.5" customHeight="1" x14ac:dyDescent="0.25">
      <c r="A63" s="203" t="s">
        <v>286</v>
      </c>
      <c r="B63" s="204" t="s">
        <v>287</v>
      </c>
      <c r="C63" s="205"/>
      <c r="D63" s="206">
        <v>1.4267296948861194</v>
      </c>
      <c r="E63" s="207">
        <v>166</v>
      </c>
      <c r="F63" s="208">
        <v>159</v>
      </c>
      <c r="G63" s="208">
        <v>165</v>
      </c>
      <c r="H63" s="208">
        <v>161</v>
      </c>
      <c r="I63" s="209">
        <v>169</v>
      </c>
      <c r="J63" s="207">
        <v>-3</v>
      </c>
      <c r="K63" s="210">
        <v>-1.7751479289940828</v>
      </c>
    </row>
    <row r="64" spans="1:11" s="119" customFormat="1" ht="13.5" customHeight="1" x14ac:dyDescent="0.25">
      <c r="A64" s="203">
        <v>73</v>
      </c>
      <c r="B64" s="204" t="s">
        <v>288</v>
      </c>
      <c r="C64" s="205"/>
      <c r="D64" s="206">
        <v>1.1087236785560808</v>
      </c>
      <c r="E64" s="207">
        <v>129</v>
      </c>
      <c r="F64" s="208">
        <v>130</v>
      </c>
      <c r="G64" s="208">
        <v>131</v>
      </c>
      <c r="H64" s="208">
        <v>130</v>
      </c>
      <c r="I64" s="209">
        <v>129</v>
      </c>
      <c r="J64" s="207">
        <v>0</v>
      </c>
      <c r="K64" s="210">
        <v>0</v>
      </c>
    </row>
    <row r="65" spans="1:11" s="119" customFormat="1" ht="13.5" customHeight="1" x14ac:dyDescent="0.25">
      <c r="A65" s="203" t="s">
        <v>289</v>
      </c>
      <c r="B65" s="204" t="s">
        <v>290</v>
      </c>
      <c r="C65" s="205"/>
      <c r="D65" s="206">
        <v>0.85947571981091531</v>
      </c>
      <c r="E65" s="207">
        <v>100</v>
      </c>
      <c r="F65" s="431">
        <v>99</v>
      </c>
      <c r="G65" s="208">
        <v>102</v>
      </c>
      <c r="H65" s="431">
        <v>99</v>
      </c>
      <c r="I65" s="432">
        <v>97</v>
      </c>
      <c r="J65" s="207">
        <v>3</v>
      </c>
      <c r="K65" s="210">
        <v>3.0927835051546393</v>
      </c>
    </row>
    <row r="66" spans="1:11" s="119" customFormat="1" ht="13.5" customHeight="1" x14ac:dyDescent="0.25">
      <c r="A66" s="203">
        <v>81</v>
      </c>
      <c r="B66" s="204" t="s">
        <v>291</v>
      </c>
      <c r="C66" s="205"/>
      <c r="D66" s="206">
        <v>3.8246669531585731</v>
      </c>
      <c r="E66" s="207">
        <v>445</v>
      </c>
      <c r="F66" s="208">
        <v>449</v>
      </c>
      <c r="G66" s="208">
        <v>450</v>
      </c>
      <c r="H66" s="208">
        <v>439</v>
      </c>
      <c r="I66" s="209">
        <v>419</v>
      </c>
      <c r="J66" s="207">
        <v>26</v>
      </c>
      <c r="K66" s="210">
        <v>6.2052505966587113</v>
      </c>
    </row>
    <row r="67" spans="1:11" s="119" customFormat="1" ht="13.5" customHeight="1" x14ac:dyDescent="0.25">
      <c r="A67" s="203" t="s">
        <v>292</v>
      </c>
      <c r="B67" s="204" t="s">
        <v>293</v>
      </c>
      <c r="C67" s="205"/>
      <c r="D67" s="206">
        <v>1.0743446497636442</v>
      </c>
      <c r="E67" s="207">
        <v>125</v>
      </c>
      <c r="F67" s="208">
        <v>126</v>
      </c>
      <c r="G67" s="208">
        <v>127</v>
      </c>
      <c r="H67" s="208">
        <v>130</v>
      </c>
      <c r="I67" s="209">
        <v>125</v>
      </c>
      <c r="J67" s="207">
        <v>0</v>
      </c>
      <c r="K67" s="210">
        <v>0</v>
      </c>
    </row>
    <row r="68" spans="1:11" s="119" customFormat="1" ht="13.5" customHeight="1" x14ac:dyDescent="0.25">
      <c r="A68" s="203" t="s">
        <v>294</v>
      </c>
      <c r="B68" s="204" t="s">
        <v>295</v>
      </c>
      <c r="C68" s="205"/>
      <c r="D68" s="206">
        <v>1.7963042544048131</v>
      </c>
      <c r="E68" s="207">
        <v>209</v>
      </c>
      <c r="F68" s="208">
        <v>213</v>
      </c>
      <c r="G68" s="208">
        <v>212</v>
      </c>
      <c r="H68" s="208">
        <v>205</v>
      </c>
      <c r="I68" s="209">
        <v>197</v>
      </c>
      <c r="J68" s="207">
        <v>12</v>
      </c>
      <c r="K68" s="210">
        <v>6.0913705583756341</v>
      </c>
    </row>
    <row r="69" spans="1:11" s="119" customFormat="1" ht="13.5" customHeight="1" x14ac:dyDescent="0.25">
      <c r="A69" s="203" t="s">
        <v>296</v>
      </c>
      <c r="B69" s="204" t="s">
        <v>297</v>
      </c>
      <c r="C69" s="205"/>
      <c r="D69" s="206">
        <v>0.11173184357541899</v>
      </c>
      <c r="E69" s="430">
        <v>13</v>
      </c>
      <c r="F69" s="431">
        <v>15</v>
      </c>
      <c r="G69" s="431">
        <v>14</v>
      </c>
      <c r="H69" s="431">
        <v>13</v>
      </c>
      <c r="I69" s="432">
        <v>10</v>
      </c>
      <c r="J69" s="207">
        <v>3</v>
      </c>
      <c r="K69" s="210">
        <v>30</v>
      </c>
    </row>
    <row r="70" spans="1:11" s="119" customFormat="1" ht="13.5" customHeight="1" x14ac:dyDescent="0.25">
      <c r="A70" s="203" t="s">
        <v>298</v>
      </c>
      <c r="B70" s="204" t="s">
        <v>299</v>
      </c>
      <c r="C70" s="205"/>
      <c r="D70" s="206">
        <v>0.65320154705629563</v>
      </c>
      <c r="E70" s="430">
        <v>76</v>
      </c>
      <c r="F70" s="431">
        <v>72</v>
      </c>
      <c r="G70" s="431">
        <v>73</v>
      </c>
      <c r="H70" s="431">
        <v>68</v>
      </c>
      <c r="I70" s="432">
        <v>66</v>
      </c>
      <c r="J70" s="207">
        <v>10</v>
      </c>
      <c r="K70" s="210">
        <v>15.151515151515152</v>
      </c>
    </row>
    <row r="71" spans="1:11" s="119" customFormat="1" ht="13.5" customHeight="1" x14ac:dyDescent="0.25">
      <c r="A71" s="203">
        <v>82</v>
      </c>
      <c r="B71" s="204" t="s">
        <v>300</v>
      </c>
      <c r="C71" s="205"/>
      <c r="D71" s="206">
        <v>2.0971207563386334</v>
      </c>
      <c r="E71" s="207">
        <v>244</v>
      </c>
      <c r="F71" s="208">
        <v>242</v>
      </c>
      <c r="G71" s="208">
        <v>238</v>
      </c>
      <c r="H71" s="208">
        <v>231</v>
      </c>
      <c r="I71" s="209">
        <v>227</v>
      </c>
      <c r="J71" s="207">
        <v>17</v>
      </c>
      <c r="K71" s="210">
        <v>7.4889867841409687</v>
      </c>
    </row>
    <row r="72" spans="1:11" s="119" customFormat="1" ht="13.5" customHeight="1" x14ac:dyDescent="0.25">
      <c r="A72" s="203" t="s">
        <v>301</v>
      </c>
      <c r="B72" s="204" t="s">
        <v>549</v>
      </c>
      <c r="C72" s="205"/>
      <c r="D72" s="206">
        <v>1.0227761065749892</v>
      </c>
      <c r="E72" s="207">
        <v>119</v>
      </c>
      <c r="F72" s="208">
        <v>119</v>
      </c>
      <c r="G72" s="208">
        <v>112</v>
      </c>
      <c r="H72" s="208">
        <v>111</v>
      </c>
      <c r="I72" s="209">
        <v>115</v>
      </c>
      <c r="J72" s="207">
        <v>4</v>
      </c>
      <c r="K72" s="210">
        <v>3.4782608695652173</v>
      </c>
    </row>
    <row r="73" spans="1:11" s="119" customFormat="1" ht="13.5" customHeight="1" x14ac:dyDescent="0.25">
      <c r="A73" s="203" t="s">
        <v>302</v>
      </c>
      <c r="B73" s="204" t="s">
        <v>303</v>
      </c>
      <c r="C73" s="205"/>
      <c r="D73" s="206">
        <v>0.56725397507520414</v>
      </c>
      <c r="E73" s="430">
        <v>66</v>
      </c>
      <c r="F73" s="431">
        <v>64</v>
      </c>
      <c r="G73" s="431">
        <v>64</v>
      </c>
      <c r="H73" s="431">
        <v>62</v>
      </c>
      <c r="I73" s="432">
        <v>57</v>
      </c>
      <c r="J73" s="207">
        <v>9</v>
      </c>
      <c r="K73" s="210">
        <v>15.789473684210526</v>
      </c>
    </row>
    <row r="74" spans="1:11" s="119" customFormat="1" ht="13.5" customHeight="1" x14ac:dyDescent="0.25">
      <c r="A74" s="203">
        <v>83</v>
      </c>
      <c r="B74" s="204" t="s">
        <v>304</v>
      </c>
      <c r="C74" s="205"/>
      <c r="D74" s="206">
        <v>2.8706489041684571</v>
      </c>
      <c r="E74" s="207">
        <v>334</v>
      </c>
      <c r="F74" s="208">
        <v>329</v>
      </c>
      <c r="G74" s="208">
        <v>344</v>
      </c>
      <c r="H74" s="208">
        <v>345</v>
      </c>
      <c r="I74" s="209">
        <v>340</v>
      </c>
      <c r="J74" s="207">
        <v>-6</v>
      </c>
      <c r="K74" s="210">
        <v>-1.7647058823529411</v>
      </c>
    </row>
    <row r="75" spans="1:11" s="119" customFormat="1" ht="13.5" customHeight="1" x14ac:dyDescent="0.25">
      <c r="A75" s="203" t="s">
        <v>305</v>
      </c>
      <c r="B75" s="204" t="s">
        <v>306</v>
      </c>
      <c r="C75" s="205"/>
      <c r="D75" s="206">
        <v>1.6587881392350665</v>
      </c>
      <c r="E75" s="207">
        <v>193</v>
      </c>
      <c r="F75" s="208">
        <v>189</v>
      </c>
      <c r="G75" s="208">
        <v>190</v>
      </c>
      <c r="H75" s="208">
        <v>196</v>
      </c>
      <c r="I75" s="209">
        <v>196</v>
      </c>
      <c r="J75" s="207">
        <v>-3</v>
      </c>
      <c r="K75" s="210">
        <v>-1.5306122448979591</v>
      </c>
    </row>
    <row r="76" spans="1:11" s="119" customFormat="1" ht="13.5" customHeight="1" x14ac:dyDescent="0.25">
      <c r="A76" s="203"/>
      <c r="B76" s="204" t="s">
        <v>307</v>
      </c>
      <c r="C76" s="205"/>
      <c r="D76" s="206">
        <v>0.59303824666953153</v>
      </c>
      <c r="E76" s="430">
        <v>69</v>
      </c>
      <c r="F76" s="431">
        <v>68</v>
      </c>
      <c r="G76" s="431">
        <v>62</v>
      </c>
      <c r="H76" s="431">
        <v>62</v>
      </c>
      <c r="I76" s="432">
        <v>62</v>
      </c>
      <c r="J76" s="207">
        <v>7</v>
      </c>
      <c r="K76" s="210">
        <v>11.290322580645162</v>
      </c>
    </row>
    <row r="77" spans="1:11" s="119" customFormat="1" ht="13.5" customHeight="1" x14ac:dyDescent="0.25">
      <c r="A77" s="203">
        <v>84</v>
      </c>
      <c r="B77" s="204" t="s">
        <v>308</v>
      </c>
      <c r="C77" s="205"/>
      <c r="D77" s="206">
        <v>2.1744735711216157</v>
      </c>
      <c r="E77" s="207">
        <v>253</v>
      </c>
      <c r="F77" s="208">
        <v>254</v>
      </c>
      <c r="G77" s="208">
        <v>232</v>
      </c>
      <c r="H77" s="208">
        <v>222</v>
      </c>
      <c r="I77" s="209">
        <v>228</v>
      </c>
      <c r="J77" s="207">
        <v>25</v>
      </c>
      <c r="K77" s="210">
        <v>10.964912280701755</v>
      </c>
    </row>
    <row r="78" spans="1:11" s="119" customFormat="1" ht="13.5" customHeight="1" x14ac:dyDescent="0.25">
      <c r="A78" s="203" t="s">
        <v>309</v>
      </c>
      <c r="B78" s="204" t="s">
        <v>310</v>
      </c>
      <c r="C78" s="205"/>
      <c r="D78" s="206">
        <v>0.20627417275461968</v>
      </c>
      <c r="E78" s="430">
        <v>24</v>
      </c>
      <c r="F78" s="431">
        <v>30</v>
      </c>
      <c r="G78" s="431">
        <v>20</v>
      </c>
      <c r="H78" s="431">
        <v>19</v>
      </c>
      <c r="I78" s="432">
        <v>19</v>
      </c>
      <c r="J78" s="207">
        <v>5</v>
      </c>
      <c r="K78" s="210">
        <v>26.315789473684209</v>
      </c>
    </row>
    <row r="79" spans="1:11" s="119" customFormat="1" ht="13.5" customHeight="1" x14ac:dyDescent="0.25">
      <c r="A79" s="203" t="s">
        <v>311</v>
      </c>
      <c r="B79" s="204" t="s">
        <v>312</v>
      </c>
      <c r="C79" s="205"/>
      <c r="D79" s="206">
        <v>0.13751611516974646</v>
      </c>
      <c r="E79" s="430">
        <v>16</v>
      </c>
      <c r="F79" s="431">
        <v>14</v>
      </c>
      <c r="G79" s="431">
        <v>15</v>
      </c>
      <c r="H79" s="431">
        <v>13</v>
      </c>
      <c r="I79" s="432">
        <v>18</v>
      </c>
      <c r="J79" s="207">
        <v>-2</v>
      </c>
      <c r="K79" s="210">
        <v>-11.111111111111111</v>
      </c>
    </row>
    <row r="80" spans="1:11" s="241" customFormat="1" ht="13.5" customHeight="1" x14ac:dyDescent="0.25">
      <c r="A80" s="203" t="s">
        <v>313</v>
      </c>
      <c r="B80" s="204" t="s">
        <v>314</v>
      </c>
      <c r="C80" s="205"/>
      <c r="D80" s="206">
        <v>0.9024495058014611</v>
      </c>
      <c r="E80" s="207">
        <v>105</v>
      </c>
      <c r="F80" s="431">
        <v>95</v>
      </c>
      <c r="G80" s="431">
        <v>93</v>
      </c>
      <c r="H80" s="431">
        <v>87</v>
      </c>
      <c r="I80" s="432">
        <v>95</v>
      </c>
      <c r="J80" s="207">
        <v>10</v>
      </c>
      <c r="K80" s="210">
        <v>10.526315789473685</v>
      </c>
    </row>
    <row r="81" spans="1:11" s="241" customFormat="1" ht="13.5" customHeight="1" x14ac:dyDescent="0.25">
      <c r="A81" s="203">
        <v>91</v>
      </c>
      <c r="B81" s="204" t="s">
        <v>315</v>
      </c>
      <c r="C81" s="205"/>
      <c r="D81" s="206">
        <v>4.2973785990545764E-2</v>
      </c>
      <c r="E81" s="430">
        <v>5</v>
      </c>
      <c r="F81" s="431">
        <v>5</v>
      </c>
      <c r="G81" s="208" t="s">
        <v>548</v>
      </c>
      <c r="H81" s="208" t="s">
        <v>548</v>
      </c>
      <c r="I81" s="432">
        <v>6</v>
      </c>
      <c r="J81" s="207">
        <v>-1</v>
      </c>
      <c r="K81" s="210">
        <v>-16.666666666666668</v>
      </c>
    </row>
    <row r="82" spans="1:11" s="204" customFormat="1" ht="13.5" customHeight="1" x14ac:dyDescent="0.25">
      <c r="A82" s="203">
        <v>92</v>
      </c>
      <c r="B82" s="204" t="s">
        <v>316</v>
      </c>
      <c r="C82" s="205"/>
      <c r="D82" s="206">
        <v>0.47271164589600345</v>
      </c>
      <c r="E82" s="430">
        <v>55</v>
      </c>
      <c r="F82" s="431">
        <v>47</v>
      </c>
      <c r="G82" s="431">
        <v>49</v>
      </c>
      <c r="H82" s="431">
        <v>51</v>
      </c>
      <c r="I82" s="432">
        <v>46</v>
      </c>
      <c r="J82" s="207">
        <v>9</v>
      </c>
      <c r="K82" s="210">
        <v>19.565217391304348</v>
      </c>
    </row>
    <row r="83" spans="1:11" s="204" customFormat="1" ht="13.5" customHeight="1" x14ac:dyDescent="0.25">
      <c r="A83" s="203">
        <v>93</v>
      </c>
      <c r="B83" s="204" t="s">
        <v>317</v>
      </c>
      <c r="C83" s="205"/>
      <c r="D83" s="206">
        <v>6.0163300386764075E-2</v>
      </c>
      <c r="E83" s="430">
        <v>7</v>
      </c>
      <c r="F83" s="431">
        <v>7</v>
      </c>
      <c r="G83" s="431">
        <v>7</v>
      </c>
      <c r="H83" s="431">
        <v>8</v>
      </c>
      <c r="I83" s="432">
        <v>10</v>
      </c>
      <c r="J83" s="207">
        <v>-3</v>
      </c>
      <c r="K83" s="210">
        <v>-30</v>
      </c>
    </row>
    <row r="84" spans="1:11" s="204" customFormat="1" ht="13.5" customHeight="1" x14ac:dyDescent="0.25">
      <c r="A84" s="203">
        <v>94</v>
      </c>
      <c r="B84" s="204" t="s">
        <v>318</v>
      </c>
      <c r="C84" s="205"/>
      <c r="D84" s="206">
        <v>0.58444348947142244</v>
      </c>
      <c r="E84" s="430">
        <v>68</v>
      </c>
      <c r="F84" s="431">
        <v>73</v>
      </c>
      <c r="G84" s="431">
        <v>72</v>
      </c>
      <c r="H84" s="431">
        <v>70</v>
      </c>
      <c r="I84" s="432">
        <v>69</v>
      </c>
      <c r="J84" s="207">
        <v>-1</v>
      </c>
      <c r="K84" s="210">
        <v>-1.4492753623188406</v>
      </c>
    </row>
    <row r="85" spans="1:11" s="204" customFormat="1" ht="13.5" customHeight="1" x14ac:dyDescent="0.25">
      <c r="A85" s="217" t="s">
        <v>319</v>
      </c>
      <c r="B85" s="218" t="s">
        <v>320</v>
      </c>
      <c r="C85" s="219"/>
      <c r="D85" s="220">
        <v>2.6214009454232916</v>
      </c>
      <c r="E85" s="221">
        <v>305</v>
      </c>
      <c r="F85" s="222">
        <v>301</v>
      </c>
      <c r="G85" s="222">
        <v>304</v>
      </c>
      <c r="H85" s="222">
        <v>314</v>
      </c>
      <c r="I85" s="223">
        <v>320</v>
      </c>
      <c r="J85" s="221">
        <v>-15</v>
      </c>
      <c r="K85" s="429">
        <v>-4.6875</v>
      </c>
    </row>
    <row r="86" spans="1:11" ht="12.75" customHeight="1" x14ac:dyDescent="0.2">
      <c r="A86" s="87"/>
      <c r="B86" s="233"/>
      <c r="C86" s="233"/>
      <c r="D86" s="234"/>
      <c r="E86" s="234"/>
      <c r="F86" s="234"/>
      <c r="G86" s="234"/>
      <c r="H86" s="234"/>
      <c r="I86" s="234"/>
      <c r="J86" s="242"/>
      <c r="K86" s="88" t="s">
        <v>37</v>
      </c>
    </row>
    <row r="87" spans="1:11" ht="15.75" customHeight="1" x14ac:dyDescent="0.2">
      <c r="A87" s="236" t="s">
        <v>116</v>
      </c>
      <c r="B87" s="87"/>
      <c r="C87" s="87"/>
      <c r="D87" s="87"/>
      <c r="E87" s="87"/>
      <c r="F87" s="87"/>
      <c r="G87" s="87"/>
      <c r="H87" s="87"/>
      <c r="I87" s="87"/>
      <c r="J87" s="87"/>
      <c r="K87" s="87"/>
    </row>
    <row r="88" spans="1:11" ht="15.75" customHeight="1" x14ac:dyDescent="0.2">
      <c r="A88" s="224" t="s">
        <v>321</v>
      </c>
      <c r="B88" s="87"/>
      <c r="C88" s="87"/>
      <c r="D88" s="87"/>
      <c r="E88" s="87"/>
      <c r="F88" s="87"/>
      <c r="G88" s="87"/>
      <c r="H88" s="87"/>
      <c r="I88" s="87"/>
      <c r="J88" s="87"/>
      <c r="K88" s="87"/>
    </row>
    <row r="89" spans="1:11" ht="49.5" customHeight="1" x14ac:dyDescent="0.2">
      <c r="A89" s="440" t="s">
        <v>322</v>
      </c>
      <c r="B89" s="440"/>
      <c r="C89" s="440"/>
      <c r="D89" s="440"/>
      <c r="E89" s="440"/>
      <c r="F89" s="440"/>
      <c r="G89" s="440"/>
      <c r="H89" s="440"/>
      <c r="I89" s="440"/>
      <c r="J89" s="440"/>
      <c r="K89" s="440"/>
    </row>
    <row r="90" spans="1:11" ht="21" customHeight="1" x14ac:dyDescent="0.2">
      <c r="A90" s="440" t="s">
        <v>323</v>
      </c>
      <c r="B90" s="440"/>
      <c r="C90" s="440"/>
      <c r="D90" s="440"/>
      <c r="E90" s="440"/>
      <c r="F90" s="440"/>
      <c r="G90" s="440"/>
      <c r="H90" s="440"/>
      <c r="I90" s="440"/>
      <c r="J90" s="440"/>
      <c r="K90" s="440"/>
    </row>
    <row r="91" spans="1:11" ht="15.75" customHeight="1" x14ac:dyDescent="0.2">
      <c r="A91" s="440" t="s">
        <v>324</v>
      </c>
      <c r="B91" s="440"/>
      <c r="C91" s="440"/>
      <c r="D91" s="440"/>
      <c r="E91" s="440"/>
      <c r="F91" s="440"/>
      <c r="G91" s="440"/>
      <c r="H91" s="440"/>
      <c r="I91" s="440"/>
      <c r="J91" s="440"/>
      <c r="K91" s="440"/>
    </row>
    <row r="92" spans="1:11" ht="15.75" customHeight="1" x14ac:dyDescent="0.2">
      <c r="A92" s="60"/>
      <c r="B92" s="60"/>
      <c r="C92" s="60"/>
      <c r="D92" s="237"/>
      <c r="E92" s="238"/>
      <c r="F92" s="238"/>
      <c r="G92" s="238"/>
      <c r="H92" s="238"/>
      <c r="I92" s="238"/>
      <c r="J92" s="238"/>
      <c r="K92" s="239"/>
    </row>
    <row r="93" spans="1:11" ht="15.75" customHeight="1" x14ac:dyDescent="0.2"/>
    <row r="94" spans="1:11" ht="15.75" customHeight="1" x14ac:dyDescent="0.2"/>
    <row r="95" spans="1:11" ht="15.75" customHeight="1" x14ac:dyDescent="0.2"/>
    <row r="96" spans="1:11" ht="15.75" customHeight="1" x14ac:dyDescent="0.2"/>
    <row r="97" ht="15.75" customHeight="1" x14ac:dyDescent="0.2"/>
    <row r="98" ht="15.75" customHeight="1" x14ac:dyDescent="0.2"/>
    <row r="99" ht="15.75" customHeight="1" x14ac:dyDescent="0.2"/>
  </sheetData>
  <mergeCells count="15">
    <mergeCell ref="A3:K3"/>
    <mergeCell ref="A4:K4"/>
    <mergeCell ref="A5:E5"/>
    <mergeCell ref="A7:C10"/>
    <mergeCell ref="D7:D10"/>
    <mergeCell ref="E7:I7"/>
    <mergeCell ref="J7:K8"/>
    <mergeCell ref="E8:E9"/>
    <mergeCell ref="F8:F9"/>
    <mergeCell ref="G8:G9"/>
    <mergeCell ref="H8:H9"/>
    <mergeCell ref="I8:I9"/>
    <mergeCell ref="A89:K89"/>
    <mergeCell ref="A90:K90"/>
    <mergeCell ref="A91:K91"/>
  </mergeCells>
  <printOptions horizontalCentered="1"/>
  <pageMargins left="0.70866141732283461" right="0.31496062992125984" top="0.74803149606299213" bottom="0.74803149606299213" header="0.31496062992125984" footer="0.31496062992125984"/>
  <pageSetup paperSize="9" scale="78" fitToHeight="0" orientation="portrait" r:id="rId1"/>
  <headerFooter alignWithMargins="0"/>
  <rowBreaks count="1" manualBreakCount="1">
    <brk id="57" max="10"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371DD-8BBB-4E4D-BEDE-0045F280103A}">
  <sheetPr codeName="Tabelle17">
    <pageSetUpPr fitToPage="1"/>
  </sheetPr>
  <dimension ref="A1:Q200"/>
  <sheetViews>
    <sheetView showGridLines="0" zoomScaleNormal="100" workbookViewId="0"/>
  </sheetViews>
  <sheetFormatPr defaultColWidth="8.81640625" defaultRowHeight="16" customHeight="1" x14ac:dyDescent="0.2"/>
  <cols>
    <col min="1" max="1" width="4.1796875" style="37" customWidth="1"/>
    <col min="2" max="2" width="3.54296875" style="61" customWidth="1"/>
    <col min="3" max="3" width="3.7265625" style="37" customWidth="1"/>
    <col min="4" max="4" width="6.453125" style="61" customWidth="1"/>
    <col min="5" max="5" width="17.7265625" style="61" customWidth="1"/>
    <col min="6" max="11" width="9.7265625" style="90" customWidth="1"/>
    <col min="12" max="12" width="8.7265625" style="91" customWidth="1"/>
    <col min="13" max="13" width="9.7265625" style="37" customWidth="1"/>
    <col min="14" max="16384" width="8.81640625" style="37"/>
  </cols>
  <sheetData>
    <row r="1" spans="1:17" customFormat="1" ht="36.75" customHeight="1" x14ac:dyDescent="0.25">
      <c r="A1" s="243"/>
      <c r="B1" s="244"/>
      <c r="C1" s="244"/>
      <c r="D1" s="245"/>
      <c r="E1" s="245"/>
      <c r="F1" s="245"/>
      <c r="G1" s="245"/>
      <c r="H1" s="245"/>
      <c r="I1" s="244"/>
      <c r="J1" s="244"/>
      <c r="K1" s="246"/>
      <c r="L1" s="32" t="s">
        <v>40</v>
      </c>
    </row>
    <row r="2" spans="1:17" customFormat="1" ht="11.25" customHeight="1" x14ac:dyDescent="0.25">
      <c r="A2" s="33"/>
      <c r="B2" s="34"/>
      <c r="C2" s="34"/>
      <c r="D2" s="34"/>
      <c r="E2" s="34"/>
      <c r="F2" s="34"/>
      <c r="G2" s="34"/>
      <c r="H2" s="34"/>
      <c r="I2" s="34"/>
      <c r="J2" s="34"/>
    </row>
    <row r="3" spans="1:17" s="35" customFormat="1" ht="25" customHeight="1" x14ac:dyDescent="0.35">
      <c r="A3" s="444" t="s">
        <v>335</v>
      </c>
      <c r="B3" s="444"/>
      <c r="C3" s="444"/>
      <c r="D3" s="444"/>
      <c r="E3" s="444"/>
      <c r="F3" s="444"/>
      <c r="G3" s="444"/>
      <c r="H3" s="444"/>
      <c r="I3" s="444"/>
      <c r="J3" s="444"/>
      <c r="K3" s="444"/>
      <c r="L3" s="444"/>
    </row>
    <row r="4" spans="1:17" s="35" customFormat="1" ht="12" customHeight="1" x14ac:dyDescent="0.35">
      <c r="A4" s="37" t="s">
        <v>86</v>
      </c>
      <c r="B4" s="37"/>
      <c r="C4" s="37"/>
      <c r="D4" s="37"/>
      <c r="E4" s="37"/>
      <c r="F4" s="37"/>
      <c r="G4" s="37"/>
      <c r="H4" s="37"/>
      <c r="I4" s="37"/>
      <c r="J4" s="37"/>
      <c r="K4" s="37"/>
      <c r="L4" s="37"/>
    </row>
    <row r="5" spans="1:17" s="35" customFormat="1" ht="12" customHeight="1" x14ac:dyDescent="0.35">
      <c r="A5" s="501" t="s">
        <v>336</v>
      </c>
      <c r="B5" s="501"/>
      <c r="C5" s="501"/>
      <c r="D5" s="501"/>
      <c r="E5" s="51"/>
      <c r="F5" s="51"/>
      <c r="G5" s="51"/>
      <c r="H5" s="51"/>
      <c r="I5" s="51"/>
      <c r="J5" s="51"/>
      <c r="K5" s="51"/>
      <c r="L5" s="51"/>
    </row>
    <row r="6" spans="1:17" s="35" customFormat="1" ht="11.25" customHeight="1" x14ac:dyDescent="0.35">
      <c r="A6" s="60"/>
      <c r="B6" s="60"/>
      <c r="C6" s="60"/>
      <c r="D6" s="60"/>
      <c r="E6" s="51"/>
      <c r="F6" s="51"/>
      <c r="G6" s="51"/>
      <c r="H6" s="51"/>
      <c r="I6" s="51"/>
      <c r="J6" s="51"/>
      <c r="K6" s="51"/>
      <c r="L6" s="51"/>
    </row>
    <row r="7" spans="1:17" customFormat="1" ht="12" customHeight="1" x14ac:dyDescent="0.25">
      <c r="A7" s="502" t="s">
        <v>337</v>
      </c>
      <c r="B7" s="502"/>
      <c r="C7" s="502"/>
      <c r="D7" s="502"/>
      <c r="E7" s="502"/>
      <c r="F7" s="505" t="s">
        <v>98</v>
      </c>
      <c r="G7" s="506"/>
      <c r="H7" s="506"/>
      <c r="I7" s="506"/>
      <c r="J7" s="506"/>
      <c r="K7" s="506"/>
      <c r="L7" s="507"/>
      <c r="M7" s="37"/>
      <c r="N7" s="37"/>
      <c r="O7" s="37"/>
      <c r="P7" s="37"/>
      <c r="Q7" s="37"/>
    </row>
    <row r="8" spans="1:17" ht="42" customHeight="1" x14ac:dyDescent="0.2">
      <c r="A8" s="502"/>
      <c r="B8" s="502"/>
      <c r="C8" s="502"/>
      <c r="D8" s="502"/>
      <c r="E8" s="502"/>
      <c r="F8" s="508" t="s">
        <v>336</v>
      </c>
      <c r="G8" s="508" t="s">
        <v>338</v>
      </c>
      <c r="H8" s="508" t="s">
        <v>339</v>
      </c>
      <c r="I8" s="508" t="s">
        <v>340</v>
      </c>
      <c r="J8" s="508" t="s">
        <v>341</v>
      </c>
      <c r="K8" s="510" t="s">
        <v>342</v>
      </c>
      <c r="L8" s="511"/>
    </row>
    <row r="9" spans="1:17" ht="12" customHeight="1" x14ac:dyDescent="0.2">
      <c r="A9" s="502"/>
      <c r="B9" s="502"/>
      <c r="C9" s="502"/>
      <c r="D9" s="502"/>
      <c r="E9" s="502"/>
      <c r="F9" s="509"/>
      <c r="G9" s="509"/>
      <c r="H9" s="509"/>
      <c r="I9" s="509"/>
      <c r="J9" s="509"/>
      <c r="K9" s="247" t="s">
        <v>96</v>
      </c>
      <c r="L9" s="248" t="s">
        <v>343</v>
      </c>
    </row>
    <row r="10" spans="1:17" ht="12" customHeight="1" x14ac:dyDescent="0.2">
      <c r="A10" s="503"/>
      <c r="B10" s="503"/>
      <c r="C10" s="503"/>
      <c r="D10" s="503"/>
      <c r="E10" s="504"/>
      <c r="F10" s="249">
        <v>1</v>
      </c>
      <c r="G10" s="250">
        <v>2</v>
      </c>
      <c r="H10" s="250">
        <v>3</v>
      </c>
      <c r="I10" s="250">
        <v>4</v>
      </c>
      <c r="J10" s="250">
        <v>5</v>
      </c>
      <c r="K10" s="250">
        <v>6</v>
      </c>
      <c r="L10" s="250">
        <v>7</v>
      </c>
      <c r="M10" s="41"/>
    </row>
    <row r="11" spans="1:17" ht="27.75" customHeight="1" x14ac:dyDescent="0.25">
      <c r="A11" s="491" t="s">
        <v>344</v>
      </c>
      <c r="B11" s="492"/>
      <c r="C11" s="492"/>
      <c r="D11" s="492"/>
      <c r="E11" s="493"/>
      <c r="F11" s="251"/>
      <c r="G11" s="251"/>
      <c r="H11" s="251"/>
      <c r="I11" s="251"/>
      <c r="J11" s="252"/>
      <c r="K11" s="251"/>
      <c r="L11" s="252"/>
    </row>
    <row r="12" spans="1:17" ht="15.75" customHeight="1" x14ac:dyDescent="0.25">
      <c r="A12" s="253" t="s">
        <v>98</v>
      </c>
      <c r="B12" s="254"/>
      <c r="C12" s="255"/>
      <c r="D12" s="255"/>
      <c r="E12" s="256"/>
      <c r="F12" s="53">
        <v>4822</v>
      </c>
      <c r="G12" s="53">
        <v>5180</v>
      </c>
      <c r="H12" s="53">
        <v>3451</v>
      </c>
      <c r="I12" s="53">
        <v>6212</v>
      </c>
      <c r="J12" s="415">
        <v>4313</v>
      </c>
      <c r="K12" s="416">
        <v>509</v>
      </c>
      <c r="L12" s="257">
        <v>11.801530257361465</v>
      </c>
    </row>
    <row r="13" spans="1:17" ht="15" customHeight="1" x14ac:dyDescent="0.2">
      <c r="A13" s="258" t="s">
        <v>345</v>
      </c>
      <c r="B13" s="60" t="s">
        <v>346</v>
      </c>
      <c r="C13" s="255"/>
      <c r="D13" s="255"/>
      <c r="E13" s="256"/>
      <c r="F13" s="53">
        <v>2723</v>
      </c>
      <c r="G13" s="53">
        <v>2722</v>
      </c>
      <c r="H13" s="53">
        <v>1760</v>
      </c>
      <c r="I13" s="53">
        <v>3278</v>
      </c>
      <c r="J13" s="415">
        <v>2323</v>
      </c>
      <c r="K13" s="416">
        <v>400</v>
      </c>
      <c r="L13" s="257">
        <v>17.219113215669392</v>
      </c>
    </row>
    <row r="14" spans="1:17" ht="22.5" customHeight="1" x14ac:dyDescent="0.2">
      <c r="A14" s="258"/>
      <c r="B14" s="60" t="s">
        <v>347</v>
      </c>
      <c r="C14" s="255"/>
      <c r="D14" s="255"/>
      <c r="E14" s="256"/>
      <c r="F14" s="53">
        <v>2099</v>
      </c>
      <c r="G14" s="53">
        <v>2458</v>
      </c>
      <c r="H14" s="53">
        <v>1691</v>
      </c>
      <c r="I14" s="53">
        <v>2934</v>
      </c>
      <c r="J14" s="415">
        <v>1990</v>
      </c>
      <c r="K14" s="416">
        <v>109</v>
      </c>
      <c r="L14" s="257">
        <v>5.4773869346733672</v>
      </c>
    </row>
    <row r="15" spans="1:17" ht="15" customHeight="1" x14ac:dyDescent="0.2">
      <c r="A15" s="258" t="s">
        <v>348</v>
      </c>
      <c r="B15" s="60" t="s">
        <v>102</v>
      </c>
      <c r="C15" s="255"/>
      <c r="D15" s="255"/>
      <c r="E15" s="256"/>
      <c r="F15" s="53">
        <v>895</v>
      </c>
      <c r="G15" s="53">
        <v>919</v>
      </c>
      <c r="H15" s="53">
        <v>684</v>
      </c>
      <c r="I15" s="53">
        <v>2582</v>
      </c>
      <c r="J15" s="415">
        <v>735</v>
      </c>
      <c r="K15" s="416">
        <v>160</v>
      </c>
      <c r="L15" s="257">
        <v>21.768707482993197</v>
      </c>
    </row>
    <row r="16" spans="1:17" ht="15" customHeight="1" x14ac:dyDescent="0.2">
      <c r="A16" s="258"/>
      <c r="B16" s="60" t="s">
        <v>103</v>
      </c>
      <c r="C16" s="255"/>
      <c r="D16" s="255"/>
      <c r="E16" s="256"/>
      <c r="F16" s="53">
        <v>3105</v>
      </c>
      <c r="G16" s="53">
        <v>3338</v>
      </c>
      <c r="H16" s="53">
        <v>2300</v>
      </c>
      <c r="I16" s="53">
        <v>2994</v>
      </c>
      <c r="J16" s="415">
        <v>2902</v>
      </c>
      <c r="K16" s="416">
        <v>203</v>
      </c>
      <c r="L16" s="257">
        <v>6.9951757408683664</v>
      </c>
    </row>
    <row r="17" spans="1:12" ht="15" customHeight="1" x14ac:dyDescent="0.2">
      <c r="A17" s="258"/>
      <c r="B17" s="60" t="s">
        <v>104</v>
      </c>
      <c r="C17" s="255"/>
      <c r="D17" s="255"/>
      <c r="E17" s="256"/>
      <c r="F17" s="53">
        <v>737</v>
      </c>
      <c r="G17" s="53">
        <v>831</v>
      </c>
      <c r="H17" s="53">
        <v>418</v>
      </c>
      <c r="I17" s="53">
        <v>563</v>
      </c>
      <c r="J17" s="415">
        <v>605</v>
      </c>
      <c r="K17" s="416">
        <v>132</v>
      </c>
      <c r="L17" s="257">
        <v>21.818181818181817</v>
      </c>
    </row>
    <row r="18" spans="1:12" ht="15" customHeight="1" x14ac:dyDescent="0.2">
      <c r="A18" s="258"/>
      <c r="B18" s="60" t="s">
        <v>105</v>
      </c>
      <c r="C18" s="255"/>
      <c r="D18" s="255"/>
      <c r="E18" s="256"/>
      <c r="F18" s="53">
        <v>85</v>
      </c>
      <c r="G18" s="53">
        <v>92</v>
      </c>
      <c r="H18" s="53">
        <v>49</v>
      </c>
      <c r="I18" s="53">
        <v>73</v>
      </c>
      <c r="J18" s="415">
        <v>71</v>
      </c>
      <c r="K18" s="416">
        <v>14</v>
      </c>
      <c r="L18" s="257">
        <v>19.718309859154928</v>
      </c>
    </row>
    <row r="19" spans="1:12" ht="15" customHeight="1" x14ac:dyDescent="0.2">
      <c r="A19" s="57" t="s">
        <v>107</v>
      </c>
      <c r="B19" s="58" t="s">
        <v>177</v>
      </c>
      <c r="C19" s="255"/>
      <c r="D19" s="255"/>
      <c r="E19" s="256"/>
      <c r="F19" s="53">
        <v>2736</v>
      </c>
      <c r="G19" s="53">
        <v>2980</v>
      </c>
      <c r="H19" s="53">
        <v>1769</v>
      </c>
      <c r="I19" s="53">
        <v>3994</v>
      </c>
      <c r="J19" s="415">
        <v>2342</v>
      </c>
      <c r="K19" s="416">
        <v>394</v>
      </c>
      <c r="L19" s="257">
        <v>16.82322801024765</v>
      </c>
    </row>
    <row r="20" spans="1:12" ht="15" customHeight="1" x14ac:dyDescent="0.2">
      <c r="A20" s="57"/>
      <c r="B20" s="58" t="s">
        <v>178</v>
      </c>
      <c r="C20" s="255"/>
      <c r="D20" s="255"/>
      <c r="E20" s="256"/>
      <c r="F20" s="53">
        <v>2086</v>
      </c>
      <c r="G20" s="53">
        <v>2200</v>
      </c>
      <c r="H20" s="53">
        <v>1682</v>
      </c>
      <c r="I20" s="53">
        <v>2218</v>
      </c>
      <c r="J20" s="415">
        <v>1971</v>
      </c>
      <c r="K20" s="416">
        <v>115</v>
      </c>
      <c r="L20" s="257">
        <v>5.8346017250126838</v>
      </c>
    </row>
    <row r="21" spans="1:12" ht="15" customHeight="1" x14ac:dyDescent="0.2">
      <c r="A21" s="57" t="s">
        <v>107</v>
      </c>
      <c r="B21" s="58" t="s">
        <v>110</v>
      </c>
      <c r="C21" s="255"/>
      <c r="D21" s="255"/>
      <c r="E21" s="256"/>
      <c r="F21" s="53">
        <v>3488</v>
      </c>
      <c r="G21" s="53">
        <v>3936</v>
      </c>
      <c r="H21" s="53">
        <v>2533</v>
      </c>
      <c r="I21" s="53">
        <v>4861</v>
      </c>
      <c r="J21" s="415">
        <v>3148</v>
      </c>
      <c r="K21" s="416">
        <v>340</v>
      </c>
      <c r="L21" s="257">
        <v>10.800508259212199</v>
      </c>
    </row>
    <row r="22" spans="1:12" ht="15" customHeight="1" x14ac:dyDescent="0.2">
      <c r="A22" s="57"/>
      <c r="B22" s="58" t="s">
        <v>111</v>
      </c>
      <c r="C22" s="255"/>
      <c r="D22" s="255"/>
      <c r="E22" s="256"/>
      <c r="F22" s="53">
        <v>1334</v>
      </c>
      <c r="G22" s="53">
        <v>1244</v>
      </c>
      <c r="H22" s="53">
        <v>918</v>
      </c>
      <c r="I22" s="53">
        <v>1351</v>
      </c>
      <c r="J22" s="415">
        <v>1165</v>
      </c>
      <c r="K22" s="416">
        <v>169</v>
      </c>
      <c r="L22" s="257">
        <v>14.506437768240342</v>
      </c>
    </row>
    <row r="23" spans="1:12" ht="15" customHeight="1" x14ac:dyDescent="0.2">
      <c r="A23" s="259" t="s">
        <v>348</v>
      </c>
      <c r="B23" s="260" t="s">
        <v>190</v>
      </c>
      <c r="C23" s="261"/>
      <c r="D23" s="261"/>
      <c r="E23" s="262"/>
      <c r="F23" s="417">
        <v>85</v>
      </c>
      <c r="G23" s="417">
        <v>96</v>
      </c>
      <c r="H23" s="417">
        <v>102</v>
      </c>
      <c r="I23" s="417">
        <v>1227</v>
      </c>
      <c r="J23" s="418">
        <v>33</v>
      </c>
      <c r="K23" s="419">
        <v>52</v>
      </c>
      <c r="L23" s="263">
        <v>157.57575757575756</v>
      </c>
    </row>
    <row r="24" spans="1:12" ht="15" customHeight="1" x14ac:dyDescent="0.25">
      <c r="A24" s="494" t="s">
        <v>349</v>
      </c>
      <c r="B24" s="495"/>
      <c r="C24" s="495"/>
      <c r="D24" s="495"/>
      <c r="E24" s="496"/>
      <c r="F24" s="264"/>
      <c r="G24" s="264"/>
      <c r="H24" s="264"/>
      <c r="I24" s="264"/>
      <c r="J24" s="264"/>
      <c r="K24" s="265"/>
      <c r="L24" s="266"/>
    </row>
    <row r="25" spans="1:12" ht="15" customHeight="1" x14ac:dyDescent="0.25">
      <c r="A25" s="267" t="s">
        <v>98</v>
      </c>
      <c r="B25" s="268"/>
      <c r="C25" s="269"/>
      <c r="D25" s="269"/>
      <c r="E25" s="270"/>
      <c r="F25" s="420">
        <v>35</v>
      </c>
      <c r="G25" s="420">
        <v>31.8</v>
      </c>
      <c r="H25" s="420">
        <v>35.200000000000003</v>
      </c>
      <c r="I25" s="420">
        <v>37.5</v>
      </c>
      <c r="J25" s="420">
        <v>36.4</v>
      </c>
      <c r="K25" s="421" t="s">
        <v>350</v>
      </c>
      <c r="L25" s="272">
        <v>-1.3999999999999986</v>
      </c>
    </row>
    <row r="26" spans="1:12" ht="15" customHeight="1" x14ac:dyDescent="0.2">
      <c r="A26" s="273" t="s">
        <v>99</v>
      </c>
      <c r="B26" s="274" t="s">
        <v>346</v>
      </c>
      <c r="C26" s="269"/>
      <c r="D26" s="269"/>
      <c r="E26" s="270"/>
      <c r="F26" s="420">
        <v>31.1</v>
      </c>
      <c r="G26" s="420">
        <v>30.1</v>
      </c>
      <c r="H26" s="420">
        <v>30.5</v>
      </c>
      <c r="I26" s="420">
        <v>32.799999999999997</v>
      </c>
      <c r="J26" s="272">
        <v>31.1</v>
      </c>
      <c r="K26" s="421" t="s">
        <v>350</v>
      </c>
      <c r="L26" s="272">
        <v>0</v>
      </c>
    </row>
    <row r="27" spans="1:12" ht="15" customHeight="1" x14ac:dyDescent="0.2">
      <c r="A27" s="273"/>
      <c r="B27" s="274" t="s">
        <v>347</v>
      </c>
      <c r="C27" s="269"/>
      <c r="D27" s="269"/>
      <c r="E27" s="270"/>
      <c r="F27" s="420">
        <v>40.200000000000003</v>
      </c>
      <c r="G27" s="420">
        <v>33.6</v>
      </c>
      <c r="H27" s="420">
        <v>40</v>
      </c>
      <c r="I27" s="420">
        <v>42.6</v>
      </c>
      <c r="J27" s="420">
        <v>42.6</v>
      </c>
      <c r="K27" s="421" t="s">
        <v>350</v>
      </c>
      <c r="L27" s="272">
        <v>-2.3999999999999986</v>
      </c>
    </row>
    <row r="28" spans="1:12" ht="15" customHeight="1" x14ac:dyDescent="0.2">
      <c r="A28" s="273" t="s">
        <v>107</v>
      </c>
      <c r="B28" s="274" t="s">
        <v>102</v>
      </c>
      <c r="C28" s="269"/>
      <c r="D28" s="269"/>
      <c r="E28" s="270"/>
      <c r="F28" s="420">
        <v>50.2</v>
      </c>
      <c r="G28" s="420">
        <v>41.8</v>
      </c>
      <c r="H28" s="420">
        <v>41.6</v>
      </c>
      <c r="I28" s="420">
        <v>45.7</v>
      </c>
      <c r="J28" s="420">
        <v>49.3</v>
      </c>
      <c r="K28" s="421" t="s">
        <v>350</v>
      </c>
      <c r="L28" s="272">
        <v>0.90000000000000568</v>
      </c>
    </row>
    <row r="29" spans="1:12" ht="10" x14ac:dyDescent="0.2">
      <c r="A29" s="273"/>
      <c r="B29" s="274" t="s">
        <v>103</v>
      </c>
      <c r="C29" s="269"/>
      <c r="D29" s="269"/>
      <c r="E29" s="270"/>
      <c r="F29" s="420">
        <v>32.5</v>
      </c>
      <c r="G29" s="420">
        <v>31.2</v>
      </c>
      <c r="H29" s="420">
        <v>34.6</v>
      </c>
      <c r="I29" s="420">
        <v>34.799999999999997</v>
      </c>
      <c r="J29" s="272">
        <v>34.200000000000003</v>
      </c>
      <c r="K29" s="421" t="s">
        <v>350</v>
      </c>
      <c r="L29" s="272">
        <v>-1.7000000000000028</v>
      </c>
    </row>
    <row r="30" spans="1:12" ht="15" customHeight="1" x14ac:dyDescent="0.2">
      <c r="A30" s="273"/>
      <c r="B30" s="274" t="s">
        <v>104</v>
      </c>
      <c r="C30" s="269"/>
      <c r="D30" s="269"/>
      <c r="E30" s="270"/>
      <c r="F30" s="420">
        <v>27.7</v>
      </c>
      <c r="G30" s="420">
        <v>25.3</v>
      </c>
      <c r="H30" s="420">
        <v>29.5</v>
      </c>
      <c r="I30" s="420">
        <v>33.9</v>
      </c>
      <c r="J30" s="420">
        <v>30.6</v>
      </c>
      <c r="K30" s="421" t="s">
        <v>350</v>
      </c>
      <c r="L30" s="272">
        <v>-2.9000000000000021</v>
      </c>
    </row>
    <row r="31" spans="1:12" ht="15" customHeight="1" x14ac:dyDescent="0.2">
      <c r="A31" s="273"/>
      <c r="B31" s="274" t="s">
        <v>105</v>
      </c>
      <c r="C31" s="269"/>
      <c r="D31" s="269"/>
      <c r="E31" s="270"/>
      <c r="F31" s="420">
        <v>43.5</v>
      </c>
      <c r="G31" s="420">
        <v>26.7</v>
      </c>
      <c r="H31" s="420">
        <v>38.799999999999997</v>
      </c>
      <c r="I31" s="420">
        <v>43.8</v>
      </c>
      <c r="J31" s="420">
        <v>49.3</v>
      </c>
      <c r="K31" s="421" t="s">
        <v>350</v>
      </c>
      <c r="L31" s="272">
        <v>-5.7999999999999972</v>
      </c>
    </row>
    <row r="32" spans="1:12" ht="15" customHeight="1" x14ac:dyDescent="0.2">
      <c r="A32" s="275" t="s">
        <v>107</v>
      </c>
      <c r="B32" s="276" t="s">
        <v>177</v>
      </c>
      <c r="C32" s="269"/>
      <c r="D32" s="269"/>
      <c r="E32" s="270"/>
      <c r="F32" s="420">
        <v>29.6</v>
      </c>
      <c r="G32" s="420">
        <v>30</v>
      </c>
      <c r="H32" s="420">
        <v>27.4</v>
      </c>
      <c r="I32" s="420">
        <v>30.7</v>
      </c>
      <c r="J32" s="272">
        <v>30.1</v>
      </c>
      <c r="K32" s="421" t="s">
        <v>350</v>
      </c>
      <c r="L32" s="272">
        <v>-0.5</v>
      </c>
    </row>
    <row r="33" spans="1:12" ht="15" customHeight="1" x14ac:dyDescent="0.2">
      <c r="A33" s="275"/>
      <c r="B33" s="276" t="s">
        <v>178</v>
      </c>
      <c r="C33" s="269"/>
      <c r="D33" s="269"/>
      <c r="E33" s="270"/>
      <c r="F33" s="420">
        <v>42.1</v>
      </c>
      <c r="G33" s="420">
        <v>34.1</v>
      </c>
      <c r="H33" s="420">
        <v>43</v>
      </c>
      <c r="I33" s="420">
        <v>46.1</v>
      </c>
      <c r="J33" s="420">
        <v>43.9</v>
      </c>
      <c r="K33" s="421" t="s">
        <v>350</v>
      </c>
      <c r="L33" s="272">
        <v>-1.7999999999999972</v>
      </c>
    </row>
    <row r="34" spans="1:12" s="277" customFormat="1" ht="15" customHeight="1" x14ac:dyDescent="0.2">
      <c r="A34" s="275" t="s">
        <v>107</v>
      </c>
      <c r="B34" s="276" t="s">
        <v>110</v>
      </c>
      <c r="C34" s="269"/>
      <c r="D34" s="269"/>
      <c r="E34" s="270"/>
      <c r="F34" s="420">
        <v>31.6</v>
      </c>
      <c r="G34" s="420">
        <v>28.3</v>
      </c>
      <c r="H34" s="420">
        <v>35.799999999999997</v>
      </c>
      <c r="I34" s="420">
        <v>37.299999999999997</v>
      </c>
      <c r="J34" s="420">
        <v>33.6</v>
      </c>
      <c r="K34" s="421" t="s">
        <v>350</v>
      </c>
      <c r="L34" s="272">
        <v>-2</v>
      </c>
    </row>
    <row r="35" spans="1:12" s="277" customFormat="1" ht="10" x14ac:dyDescent="0.2">
      <c r="A35" s="278"/>
      <c r="B35" s="279" t="s">
        <v>111</v>
      </c>
      <c r="C35" s="280"/>
      <c r="D35" s="280"/>
      <c r="E35" s="281"/>
      <c r="F35" s="422">
        <v>43.9</v>
      </c>
      <c r="G35" s="422">
        <v>42.7</v>
      </c>
      <c r="H35" s="422">
        <v>33.5</v>
      </c>
      <c r="I35" s="422">
        <v>38.200000000000003</v>
      </c>
      <c r="J35" s="423">
        <v>43.8</v>
      </c>
      <c r="K35" s="424" t="s">
        <v>350</v>
      </c>
      <c r="L35" s="282">
        <v>0.10000000000000142</v>
      </c>
    </row>
    <row r="36" spans="1:12" s="277" customFormat="1" ht="16" customHeight="1" x14ac:dyDescent="0.25">
      <c r="A36" s="283" t="s">
        <v>351</v>
      </c>
      <c r="B36" s="284"/>
      <c r="C36" s="285"/>
      <c r="D36" s="284"/>
      <c r="E36" s="286"/>
      <c r="F36" s="425">
        <v>4691</v>
      </c>
      <c r="G36" s="425">
        <v>5000</v>
      </c>
      <c r="H36" s="425">
        <v>3271</v>
      </c>
      <c r="I36" s="425">
        <v>4709</v>
      </c>
      <c r="J36" s="425">
        <v>4232</v>
      </c>
      <c r="K36" s="271">
        <v>459</v>
      </c>
      <c r="L36" s="287">
        <v>10.84593572778828</v>
      </c>
    </row>
    <row r="37" spans="1:12" s="277" customFormat="1" ht="16" customHeight="1" x14ac:dyDescent="0.2">
      <c r="A37" s="288"/>
      <c r="B37" s="289" t="s">
        <v>107</v>
      </c>
      <c r="C37" s="289" t="s">
        <v>352</v>
      </c>
      <c r="D37" s="289"/>
      <c r="E37" s="290"/>
      <c r="F37" s="425">
        <v>1644</v>
      </c>
      <c r="G37" s="425">
        <v>1589</v>
      </c>
      <c r="H37" s="425">
        <v>1151</v>
      </c>
      <c r="I37" s="425">
        <v>1768</v>
      </c>
      <c r="J37" s="425">
        <v>1541</v>
      </c>
      <c r="K37" s="271">
        <v>103</v>
      </c>
      <c r="L37" s="287">
        <v>6.6839714471122651</v>
      </c>
    </row>
    <row r="38" spans="1:12" s="277" customFormat="1" ht="16" customHeight="1" x14ac:dyDescent="0.2">
      <c r="A38" s="288"/>
      <c r="B38" s="276" t="s">
        <v>99</v>
      </c>
      <c r="C38" s="276" t="s">
        <v>100</v>
      </c>
      <c r="D38" s="291"/>
      <c r="E38" s="290"/>
      <c r="F38" s="425">
        <v>2645</v>
      </c>
      <c r="G38" s="425">
        <v>2627</v>
      </c>
      <c r="H38" s="425">
        <v>1649</v>
      </c>
      <c r="I38" s="425">
        <v>2432</v>
      </c>
      <c r="J38" s="426">
        <v>2285</v>
      </c>
      <c r="K38" s="271">
        <v>360</v>
      </c>
      <c r="L38" s="287">
        <v>15.75492341356674</v>
      </c>
    </row>
    <row r="39" spans="1:12" s="277" customFormat="1" ht="16" customHeight="1" x14ac:dyDescent="0.2">
      <c r="A39" s="288"/>
      <c r="B39" s="291"/>
      <c r="C39" s="289" t="s">
        <v>353</v>
      </c>
      <c r="D39" s="291"/>
      <c r="E39" s="290"/>
      <c r="F39" s="425">
        <v>822</v>
      </c>
      <c r="G39" s="425">
        <v>791</v>
      </c>
      <c r="H39" s="425">
        <v>503</v>
      </c>
      <c r="I39" s="425">
        <v>797</v>
      </c>
      <c r="J39" s="425">
        <v>711</v>
      </c>
      <c r="K39" s="271">
        <v>111</v>
      </c>
      <c r="L39" s="287">
        <v>15.611814345991561</v>
      </c>
    </row>
    <row r="40" spans="1:12" s="277" customFormat="1" ht="16" customHeight="1" x14ac:dyDescent="0.2">
      <c r="A40" s="288"/>
      <c r="B40" s="276"/>
      <c r="C40" s="276" t="s">
        <v>101</v>
      </c>
      <c r="D40" s="291"/>
      <c r="E40" s="290"/>
      <c r="F40" s="425">
        <v>2046</v>
      </c>
      <c r="G40" s="425">
        <v>2373</v>
      </c>
      <c r="H40" s="425">
        <v>1622</v>
      </c>
      <c r="I40" s="425">
        <v>2277</v>
      </c>
      <c r="J40" s="425">
        <v>1947</v>
      </c>
      <c r="K40" s="271">
        <v>99</v>
      </c>
      <c r="L40" s="287">
        <v>5.0847457627118642</v>
      </c>
    </row>
    <row r="41" spans="1:12" s="277" customFormat="1" ht="24" customHeight="1" x14ac:dyDescent="0.2">
      <c r="A41" s="288"/>
      <c r="B41" s="291"/>
      <c r="C41" s="289" t="s">
        <v>353</v>
      </c>
      <c r="D41" s="291"/>
      <c r="E41" s="290"/>
      <c r="F41" s="425">
        <v>822</v>
      </c>
      <c r="G41" s="425">
        <v>798</v>
      </c>
      <c r="H41" s="425">
        <v>648</v>
      </c>
      <c r="I41" s="425">
        <v>971</v>
      </c>
      <c r="J41" s="426">
        <v>830</v>
      </c>
      <c r="K41" s="271">
        <v>-8</v>
      </c>
      <c r="L41" s="287">
        <v>-0.96385542168674698</v>
      </c>
    </row>
    <row r="42" spans="1:12" ht="15" customHeight="1" x14ac:dyDescent="0.2">
      <c r="A42" s="288"/>
      <c r="B42" s="276" t="s">
        <v>107</v>
      </c>
      <c r="C42" s="276" t="s">
        <v>354</v>
      </c>
      <c r="D42" s="291"/>
      <c r="E42" s="290"/>
      <c r="F42" s="425">
        <v>812</v>
      </c>
      <c r="G42" s="425">
        <v>775</v>
      </c>
      <c r="H42" s="425">
        <v>536</v>
      </c>
      <c r="I42" s="425">
        <v>1177</v>
      </c>
      <c r="J42" s="425">
        <v>692</v>
      </c>
      <c r="K42" s="271">
        <v>120</v>
      </c>
      <c r="L42" s="287">
        <v>17.341040462427745</v>
      </c>
    </row>
    <row r="43" spans="1:12" ht="15" customHeight="1" x14ac:dyDescent="0.2">
      <c r="A43" s="288"/>
      <c r="B43" s="291"/>
      <c r="C43" s="289" t="s">
        <v>353</v>
      </c>
      <c r="D43" s="291"/>
      <c r="E43" s="290"/>
      <c r="F43" s="425">
        <v>408</v>
      </c>
      <c r="G43" s="425">
        <v>324</v>
      </c>
      <c r="H43" s="425">
        <v>223</v>
      </c>
      <c r="I43" s="425">
        <v>538</v>
      </c>
      <c r="J43" s="425">
        <v>341</v>
      </c>
      <c r="K43" s="271">
        <v>67</v>
      </c>
      <c r="L43" s="287">
        <v>19.648093841642229</v>
      </c>
    </row>
    <row r="44" spans="1:12" ht="15" customHeight="1" x14ac:dyDescent="0.2">
      <c r="A44" s="288"/>
      <c r="B44" s="276"/>
      <c r="C44" s="274" t="s">
        <v>103</v>
      </c>
      <c r="D44" s="291"/>
      <c r="E44" s="290"/>
      <c r="F44" s="425">
        <v>3073</v>
      </c>
      <c r="G44" s="425">
        <v>3309</v>
      </c>
      <c r="H44" s="425">
        <v>2273</v>
      </c>
      <c r="I44" s="425">
        <v>2904</v>
      </c>
      <c r="J44" s="426">
        <v>2871</v>
      </c>
      <c r="K44" s="271">
        <v>202</v>
      </c>
      <c r="L44" s="287">
        <v>7.0358760013932429</v>
      </c>
    </row>
    <row r="45" spans="1:12" ht="15" customHeight="1" x14ac:dyDescent="0.2">
      <c r="A45" s="288"/>
      <c r="B45" s="291"/>
      <c r="C45" s="289" t="s">
        <v>353</v>
      </c>
      <c r="D45" s="291"/>
      <c r="E45" s="290"/>
      <c r="F45" s="425">
        <v>999</v>
      </c>
      <c r="G45" s="425">
        <v>1032</v>
      </c>
      <c r="H45" s="425">
        <v>787</v>
      </c>
      <c r="I45" s="425">
        <v>1010</v>
      </c>
      <c r="J45" s="425">
        <v>982</v>
      </c>
      <c r="K45" s="271">
        <v>17</v>
      </c>
      <c r="L45" s="287">
        <v>1.7311608961303462</v>
      </c>
    </row>
    <row r="46" spans="1:12" ht="15" customHeight="1" x14ac:dyDescent="0.2">
      <c r="A46" s="288"/>
      <c r="B46" s="276"/>
      <c r="C46" s="274" t="s">
        <v>104</v>
      </c>
      <c r="D46" s="291"/>
      <c r="E46" s="290"/>
      <c r="F46" s="425">
        <v>721</v>
      </c>
      <c r="G46" s="425">
        <v>826</v>
      </c>
      <c r="H46" s="425">
        <v>413</v>
      </c>
      <c r="I46" s="425">
        <v>555</v>
      </c>
      <c r="J46" s="425">
        <v>598</v>
      </c>
      <c r="K46" s="271">
        <v>123</v>
      </c>
      <c r="L46" s="287">
        <v>20.568561872909697</v>
      </c>
    </row>
    <row r="47" spans="1:12" ht="15" customHeight="1" x14ac:dyDescent="0.2">
      <c r="A47" s="288"/>
      <c r="B47" s="291"/>
      <c r="C47" s="289" t="s">
        <v>353</v>
      </c>
      <c r="D47" s="291"/>
      <c r="E47" s="290"/>
      <c r="F47" s="425">
        <v>200</v>
      </c>
      <c r="G47" s="425">
        <v>209</v>
      </c>
      <c r="H47" s="425">
        <v>122</v>
      </c>
      <c r="I47" s="425">
        <v>188</v>
      </c>
      <c r="J47" s="426">
        <v>183</v>
      </c>
      <c r="K47" s="271">
        <v>17</v>
      </c>
      <c r="L47" s="287">
        <v>9.2896174863387984</v>
      </c>
    </row>
    <row r="48" spans="1:12" ht="15" customHeight="1" x14ac:dyDescent="0.2">
      <c r="A48" s="288"/>
      <c r="B48" s="291"/>
      <c r="C48" s="274" t="s">
        <v>105</v>
      </c>
      <c r="D48" s="292"/>
      <c r="E48" s="293"/>
      <c r="F48" s="425">
        <v>85</v>
      </c>
      <c r="G48" s="425">
        <v>90</v>
      </c>
      <c r="H48" s="425">
        <v>49</v>
      </c>
      <c r="I48" s="425">
        <v>73</v>
      </c>
      <c r="J48" s="425">
        <v>71</v>
      </c>
      <c r="K48" s="271">
        <v>14</v>
      </c>
      <c r="L48" s="287">
        <v>19.718309859154928</v>
      </c>
    </row>
    <row r="49" spans="1:12" ht="15" customHeight="1" x14ac:dyDescent="0.2">
      <c r="A49" s="288"/>
      <c r="B49" s="291"/>
      <c r="C49" s="289" t="s">
        <v>353</v>
      </c>
      <c r="D49" s="291"/>
      <c r="E49" s="290"/>
      <c r="F49" s="425">
        <v>37</v>
      </c>
      <c r="G49" s="425">
        <v>24</v>
      </c>
      <c r="H49" s="425">
        <v>19</v>
      </c>
      <c r="I49" s="425">
        <v>32</v>
      </c>
      <c r="J49" s="425">
        <v>35</v>
      </c>
      <c r="K49" s="271">
        <v>2</v>
      </c>
      <c r="L49" s="287">
        <v>5.7142857142857144</v>
      </c>
    </row>
    <row r="50" spans="1:12" ht="15" customHeight="1" x14ac:dyDescent="0.2">
      <c r="A50" s="288"/>
      <c r="B50" s="276" t="s">
        <v>107</v>
      </c>
      <c r="C50" s="289" t="s">
        <v>177</v>
      </c>
      <c r="D50" s="291"/>
      <c r="E50" s="290"/>
      <c r="F50" s="425">
        <v>2642</v>
      </c>
      <c r="G50" s="425">
        <v>2838</v>
      </c>
      <c r="H50" s="425">
        <v>1647</v>
      </c>
      <c r="I50" s="425">
        <v>2611</v>
      </c>
      <c r="J50" s="426">
        <v>2300</v>
      </c>
      <c r="K50" s="271">
        <v>342</v>
      </c>
      <c r="L50" s="287">
        <v>14.869565217391305</v>
      </c>
    </row>
    <row r="51" spans="1:12" ht="15" customHeight="1" x14ac:dyDescent="0.2">
      <c r="A51" s="288"/>
      <c r="B51" s="291"/>
      <c r="C51" s="289" t="s">
        <v>353</v>
      </c>
      <c r="D51" s="291"/>
      <c r="E51" s="290"/>
      <c r="F51" s="425">
        <v>782</v>
      </c>
      <c r="G51" s="425">
        <v>852</v>
      </c>
      <c r="H51" s="425">
        <v>452</v>
      </c>
      <c r="I51" s="425">
        <v>801</v>
      </c>
      <c r="J51" s="425">
        <v>692</v>
      </c>
      <c r="K51" s="271">
        <v>90</v>
      </c>
      <c r="L51" s="287">
        <v>13.00578034682081</v>
      </c>
    </row>
    <row r="52" spans="1:12" ht="15" customHeight="1" x14ac:dyDescent="0.2">
      <c r="A52" s="288"/>
      <c r="B52" s="276"/>
      <c r="C52" s="289" t="s">
        <v>178</v>
      </c>
      <c r="D52" s="291"/>
      <c r="E52" s="290"/>
      <c r="F52" s="425">
        <v>2049</v>
      </c>
      <c r="G52" s="425">
        <v>2162</v>
      </c>
      <c r="H52" s="425">
        <v>1624</v>
      </c>
      <c r="I52" s="425">
        <v>2098</v>
      </c>
      <c r="J52" s="425">
        <v>1932</v>
      </c>
      <c r="K52" s="271">
        <v>117</v>
      </c>
      <c r="L52" s="287">
        <v>6.0559006211180124</v>
      </c>
    </row>
    <row r="53" spans="1:12" s="88" customFormat="1" ht="11.25" customHeight="1" x14ac:dyDescent="0.2">
      <c r="A53" s="288"/>
      <c r="B53" s="291"/>
      <c r="C53" s="289" t="s">
        <v>353</v>
      </c>
      <c r="D53" s="291"/>
      <c r="E53" s="290"/>
      <c r="F53" s="425">
        <v>862</v>
      </c>
      <c r="G53" s="425">
        <v>737</v>
      </c>
      <c r="H53" s="425">
        <v>699</v>
      </c>
      <c r="I53" s="425">
        <v>967</v>
      </c>
      <c r="J53" s="426">
        <v>849</v>
      </c>
      <c r="K53" s="271">
        <v>13</v>
      </c>
      <c r="L53" s="287">
        <v>1.5312131919905771</v>
      </c>
    </row>
    <row r="54" spans="1:12" s="140" customFormat="1" ht="12.75" customHeight="1" x14ac:dyDescent="0.2">
      <c r="A54" s="288"/>
      <c r="B54" s="276" t="s">
        <v>107</v>
      </c>
      <c r="C54" s="276" t="s">
        <v>110</v>
      </c>
      <c r="D54" s="291"/>
      <c r="E54" s="290"/>
      <c r="F54" s="425">
        <v>3367</v>
      </c>
      <c r="G54" s="425">
        <v>3780</v>
      </c>
      <c r="H54" s="425">
        <v>2375</v>
      </c>
      <c r="I54" s="425">
        <v>3460</v>
      </c>
      <c r="J54" s="425">
        <v>3078</v>
      </c>
      <c r="K54" s="271">
        <v>289</v>
      </c>
      <c r="L54" s="287">
        <v>9.3892137751786873</v>
      </c>
    </row>
    <row r="55" spans="1:12" ht="10" x14ac:dyDescent="0.2">
      <c r="A55" s="288"/>
      <c r="B55" s="291"/>
      <c r="C55" s="289" t="s">
        <v>353</v>
      </c>
      <c r="D55" s="291"/>
      <c r="E55" s="290"/>
      <c r="F55" s="425">
        <v>1063</v>
      </c>
      <c r="G55" s="425">
        <v>1068</v>
      </c>
      <c r="H55" s="425">
        <v>851</v>
      </c>
      <c r="I55" s="425">
        <v>1291</v>
      </c>
      <c r="J55" s="425">
        <v>1035</v>
      </c>
      <c r="K55" s="271">
        <v>28</v>
      </c>
      <c r="L55" s="287">
        <v>2.7053140096618358</v>
      </c>
    </row>
    <row r="56" spans="1:12" ht="14.25" customHeight="1" x14ac:dyDescent="0.2">
      <c r="A56" s="288"/>
      <c r="B56" s="291"/>
      <c r="C56" s="276" t="s">
        <v>111</v>
      </c>
      <c r="D56" s="291"/>
      <c r="E56" s="290"/>
      <c r="F56" s="425">
        <v>1324</v>
      </c>
      <c r="G56" s="425">
        <v>1220</v>
      </c>
      <c r="H56" s="425">
        <v>896</v>
      </c>
      <c r="I56" s="425">
        <v>1249</v>
      </c>
      <c r="J56" s="425">
        <v>1154</v>
      </c>
      <c r="K56" s="271">
        <v>170</v>
      </c>
      <c r="L56" s="287">
        <v>14.731369150779896</v>
      </c>
    </row>
    <row r="57" spans="1:12" ht="18.75" customHeight="1" x14ac:dyDescent="0.2">
      <c r="A57" s="294"/>
      <c r="B57" s="295"/>
      <c r="C57" s="296" t="s">
        <v>353</v>
      </c>
      <c r="D57" s="295"/>
      <c r="E57" s="297"/>
      <c r="F57" s="315">
        <v>581</v>
      </c>
      <c r="G57" s="427">
        <v>521</v>
      </c>
      <c r="H57" s="427">
        <v>300</v>
      </c>
      <c r="I57" s="427">
        <v>477</v>
      </c>
      <c r="J57" s="427">
        <v>506</v>
      </c>
      <c r="K57" s="428">
        <v>75</v>
      </c>
      <c r="L57" s="298">
        <v>14.822134387351779</v>
      </c>
    </row>
    <row r="58" spans="1:12" s="60" customFormat="1" ht="10" x14ac:dyDescent="0.2">
      <c r="A58" s="274"/>
      <c r="B58" s="274"/>
      <c r="C58" s="274"/>
      <c r="D58" s="274"/>
      <c r="E58" s="274"/>
      <c r="F58" s="274"/>
      <c r="G58" s="274"/>
      <c r="H58" s="274"/>
      <c r="I58" s="274"/>
      <c r="J58" s="274"/>
      <c r="K58" s="225"/>
      <c r="L58" s="88" t="s">
        <v>37</v>
      </c>
    </row>
    <row r="59" spans="1:12" s="60" customFormat="1" ht="21" customHeight="1" x14ac:dyDescent="0.2">
      <c r="A59" s="497" t="s">
        <v>355</v>
      </c>
      <c r="B59" s="440"/>
      <c r="C59" s="440"/>
      <c r="D59" s="497"/>
      <c r="E59" s="440"/>
      <c r="F59" s="440"/>
      <c r="G59" s="440"/>
      <c r="H59" s="440"/>
      <c r="I59" s="440"/>
      <c r="J59" s="440"/>
      <c r="K59" s="440"/>
      <c r="L59" s="440"/>
    </row>
    <row r="60" spans="1:12" s="60" customFormat="1" ht="12.75" customHeight="1" x14ac:dyDescent="0.2">
      <c r="A60" s="498" t="s">
        <v>356</v>
      </c>
      <c r="B60" s="441"/>
      <c r="C60" s="441"/>
      <c r="D60" s="441"/>
      <c r="E60" s="441"/>
      <c r="F60" s="441"/>
      <c r="G60" s="441"/>
      <c r="H60" s="441"/>
      <c r="I60" s="441"/>
      <c r="J60" s="441"/>
      <c r="K60" s="441"/>
      <c r="L60" s="441"/>
    </row>
    <row r="61" spans="1:12" s="60" customFormat="1" ht="12.75" customHeight="1" x14ac:dyDescent="0.2">
      <c r="A61" s="499" t="s">
        <v>357</v>
      </c>
      <c r="B61" s="500"/>
      <c r="C61" s="500"/>
      <c r="D61" s="500"/>
      <c r="E61" s="500"/>
      <c r="F61" s="500"/>
      <c r="G61" s="500"/>
      <c r="H61" s="500"/>
      <c r="I61" s="500"/>
      <c r="J61" s="500"/>
      <c r="K61" s="500"/>
      <c r="L61" s="500"/>
    </row>
    <row r="62" spans="1:12" s="60" customFormat="1" ht="12.75" customHeight="1" x14ac:dyDescent="0.2">
      <c r="A62" s="87"/>
      <c r="B62" s="87"/>
      <c r="C62" s="87"/>
      <c r="D62" s="87"/>
      <c r="E62" s="87"/>
      <c r="F62" s="87"/>
      <c r="G62" s="87"/>
      <c r="H62" s="87"/>
      <c r="I62" s="87"/>
    </row>
    <row r="63" spans="1:12" s="60" customFormat="1" ht="12.75" customHeight="1" x14ac:dyDescent="0.2"/>
    <row r="64" spans="1:12" ht="16" customHeight="1" x14ac:dyDescent="0.2">
      <c r="B64" s="37"/>
      <c r="D64" s="37"/>
      <c r="E64" s="37"/>
      <c r="F64" s="37"/>
      <c r="G64" s="37"/>
      <c r="H64" s="37"/>
      <c r="I64" s="37"/>
      <c r="J64" s="37"/>
      <c r="K64" s="37"/>
      <c r="L64" s="37"/>
    </row>
    <row r="65" spans="2:12" ht="16" customHeight="1" x14ac:dyDescent="0.2">
      <c r="B65" s="37"/>
      <c r="D65" s="37"/>
      <c r="E65" s="37"/>
      <c r="F65" s="37"/>
      <c r="G65" s="37"/>
      <c r="H65" s="37"/>
      <c r="I65" s="37"/>
      <c r="J65" s="37"/>
      <c r="K65" s="37"/>
      <c r="L65" s="178"/>
    </row>
    <row r="66" spans="2:12" ht="16" customHeight="1" x14ac:dyDescent="0.2">
      <c r="B66" s="37"/>
      <c r="D66" s="37"/>
      <c r="E66" s="37"/>
      <c r="F66" s="37"/>
      <c r="G66" s="37"/>
      <c r="H66" s="37"/>
      <c r="I66" s="37"/>
      <c r="J66" s="37"/>
      <c r="K66" s="37"/>
      <c r="L66" s="37"/>
    </row>
    <row r="67" spans="2:12" ht="16" customHeight="1" x14ac:dyDescent="0.2">
      <c r="B67" s="37"/>
      <c r="D67" s="37"/>
      <c r="E67" s="37"/>
      <c r="F67" s="37"/>
      <c r="G67" s="37"/>
      <c r="H67" s="37"/>
      <c r="I67" s="37"/>
      <c r="J67" s="37"/>
      <c r="K67" s="37"/>
      <c r="L67" s="37"/>
    </row>
    <row r="68" spans="2:12" ht="16" customHeight="1" x14ac:dyDescent="0.2">
      <c r="B68" s="37"/>
      <c r="D68" s="37"/>
      <c r="E68" s="37"/>
      <c r="F68" s="37"/>
      <c r="G68" s="37"/>
      <c r="H68" s="37"/>
      <c r="I68" s="37"/>
      <c r="J68" s="37"/>
      <c r="K68" s="37"/>
      <c r="L68" s="37"/>
    </row>
    <row r="69" spans="2:12" ht="16" customHeight="1" x14ac:dyDescent="0.2">
      <c r="B69" s="37"/>
      <c r="D69" s="37"/>
      <c r="E69" s="37"/>
      <c r="F69" s="37"/>
      <c r="G69" s="37"/>
      <c r="H69" s="37"/>
      <c r="I69" s="37"/>
      <c r="J69" s="37"/>
      <c r="K69" s="37"/>
      <c r="L69" s="37"/>
    </row>
    <row r="70" spans="2:12" ht="16" customHeight="1" x14ac:dyDescent="0.2">
      <c r="B70" s="37"/>
      <c r="D70" s="37"/>
      <c r="E70" s="37"/>
      <c r="F70" s="37"/>
      <c r="G70" s="37"/>
      <c r="H70" s="37"/>
      <c r="I70" s="37"/>
      <c r="J70" s="37"/>
      <c r="K70" s="37"/>
      <c r="L70" s="37"/>
    </row>
    <row r="71" spans="2:12" ht="16" customHeight="1" x14ac:dyDescent="0.2">
      <c r="B71" s="37"/>
      <c r="D71" s="37"/>
      <c r="E71" s="37"/>
      <c r="F71" s="37"/>
      <c r="G71" s="37"/>
      <c r="H71" s="37"/>
      <c r="I71" s="37"/>
      <c r="J71" s="37"/>
      <c r="K71" s="37"/>
      <c r="L71" s="37"/>
    </row>
    <row r="72" spans="2:12" ht="16" customHeight="1" x14ac:dyDescent="0.2">
      <c r="B72" s="37"/>
      <c r="D72" s="37"/>
      <c r="E72" s="37"/>
      <c r="F72" s="37"/>
      <c r="G72" s="37"/>
      <c r="H72" s="37"/>
      <c r="I72" s="37"/>
      <c r="J72" s="37"/>
      <c r="K72" s="37"/>
      <c r="L72" s="37"/>
    </row>
    <row r="73" spans="2:12" ht="16" customHeight="1" x14ac:dyDescent="0.2">
      <c r="B73" s="37"/>
      <c r="D73" s="37"/>
      <c r="E73" s="37"/>
      <c r="F73" s="37"/>
      <c r="G73" s="37"/>
      <c r="H73" s="37"/>
      <c r="I73" s="37"/>
      <c r="J73" s="37"/>
      <c r="K73" s="37"/>
      <c r="L73" s="37"/>
    </row>
    <row r="74" spans="2:12" ht="16" customHeight="1" x14ac:dyDescent="0.2">
      <c r="B74" s="37"/>
      <c r="D74" s="37"/>
      <c r="E74" s="37"/>
      <c r="F74" s="37"/>
      <c r="G74" s="37"/>
      <c r="H74" s="37"/>
      <c r="I74" s="37"/>
      <c r="J74" s="37"/>
      <c r="K74" s="37"/>
      <c r="L74" s="37"/>
    </row>
    <row r="75" spans="2:12" ht="16" customHeight="1" x14ac:dyDescent="0.2">
      <c r="B75" s="37"/>
      <c r="D75" s="37"/>
      <c r="E75" s="37"/>
      <c r="F75" s="37"/>
      <c r="G75" s="37"/>
      <c r="H75" s="37"/>
      <c r="I75" s="37"/>
      <c r="J75" s="37"/>
      <c r="K75" s="37"/>
      <c r="L75" s="37"/>
    </row>
    <row r="76" spans="2:12" ht="16" customHeight="1" x14ac:dyDescent="0.2">
      <c r="B76" s="37"/>
      <c r="D76" s="37"/>
      <c r="E76" s="37"/>
      <c r="F76" s="37"/>
      <c r="G76" s="37"/>
      <c r="H76" s="37"/>
      <c r="I76" s="37"/>
      <c r="J76" s="37"/>
      <c r="K76" s="37"/>
      <c r="L76" s="37"/>
    </row>
    <row r="77" spans="2:12" ht="16" customHeight="1" x14ac:dyDescent="0.2">
      <c r="B77" s="37"/>
      <c r="D77" s="37"/>
      <c r="E77" s="37"/>
      <c r="F77" s="37"/>
      <c r="G77" s="37"/>
      <c r="H77" s="37"/>
      <c r="I77" s="37"/>
      <c r="J77" s="37"/>
      <c r="K77" s="37"/>
      <c r="L77" s="37"/>
    </row>
    <row r="78" spans="2:12" ht="16" customHeight="1" x14ac:dyDescent="0.2">
      <c r="B78" s="37"/>
      <c r="D78" s="37"/>
      <c r="E78" s="37"/>
      <c r="F78" s="37"/>
      <c r="G78" s="37"/>
      <c r="H78" s="37"/>
      <c r="I78" s="37"/>
      <c r="J78" s="37"/>
      <c r="K78" s="37"/>
      <c r="L78" s="37"/>
    </row>
    <row r="79" spans="2:12" ht="16" customHeight="1" x14ac:dyDescent="0.2">
      <c r="B79" s="37"/>
      <c r="D79" s="37"/>
      <c r="E79" s="37"/>
      <c r="F79" s="37"/>
      <c r="G79" s="37"/>
      <c r="H79" s="37"/>
      <c r="I79" s="37"/>
      <c r="J79" s="37"/>
      <c r="K79" s="37"/>
      <c r="L79" s="37"/>
    </row>
    <row r="80" spans="2:12" ht="16" customHeight="1" x14ac:dyDescent="0.2">
      <c r="B80" s="37"/>
      <c r="D80" s="37"/>
      <c r="E80" s="37"/>
      <c r="F80" s="37"/>
      <c r="G80" s="37"/>
      <c r="H80" s="37"/>
      <c r="I80" s="37"/>
      <c r="J80" s="37"/>
      <c r="K80" s="37"/>
      <c r="L80" s="37"/>
    </row>
    <row r="81" s="37" customFormat="1" ht="16" customHeight="1" x14ac:dyDescent="0.2"/>
    <row r="82" s="37" customFormat="1" ht="16" customHeight="1" x14ac:dyDescent="0.2"/>
    <row r="83" s="37" customFormat="1" ht="16" customHeight="1" x14ac:dyDescent="0.2"/>
    <row r="84" s="37" customFormat="1" ht="16" customHeight="1" x14ac:dyDescent="0.2"/>
    <row r="85" s="37" customFormat="1" ht="16" customHeight="1" x14ac:dyDescent="0.2"/>
    <row r="86" s="37" customFormat="1" ht="16" customHeight="1" x14ac:dyDescent="0.2"/>
    <row r="87" s="37" customFormat="1" ht="16" customHeight="1" x14ac:dyDescent="0.2"/>
    <row r="88" s="37" customFormat="1" ht="16" customHeight="1" x14ac:dyDescent="0.2"/>
    <row r="89" s="37" customFormat="1" ht="16" customHeight="1" x14ac:dyDescent="0.2"/>
    <row r="90" s="37" customFormat="1" ht="16" customHeight="1" x14ac:dyDescent="0.2"/>
    <row r="91" s="37" customFormat="1" ht="16" customHeight="1" x14ac:dyDescent="0.2"/>
    <row r="92" s="37" customFormat="1" ht="16" customHeight="1" x14ac:dyDescent="0.2"/>
    <row r="93" s="37" customFormat="1" ht="16" customHeight="1" x14ac:dyDescent="0.2"/>
    <row r="94" s="37" customFormat="1" ht="16" customHeight="1" x14ac:dyDescent="0.2"/>
    <row r="95" s="37" customFormat="1" ht="16" customHeight="1" x14ac:dyDescent="0.2"/>
    <row r="96" s="37" customFormat="1" ht="16" customHeight="1" x14ac:dyDescent="0.2"/>
    <row r="97" s="37" customFormat="1" ht="16" customHeight="1" x14ac:dyDescent="0.2"/>
    <row r="98" s="37" customFormat="1" ht="16" customHeight="1" x14ac:dyDescent="0.2"/>
    <row r="99" s="37" customFormat="1" ht="16" customHeight="1" x14ac:dyDescent="0.2"/>
    <row r="100" s="37" customFormat="1" ht="16" customHeight="1" x14ac:dyDescent="0.2"/>
    <row r="101" s="37" customFormat="1" ht="16" customHeight="1" x14ac:dyDescent="0.2"/>
    <row r="102" s="37" customFormat="1" ht="16" customHeight="1" x14ac:dyDescent="0.2"/>
    <row r="103" s="37" customFormat="1" ht="16" customHeight="1" x14ac:dyDescent="0.2"/>
    <row r="104" s="37" customFormat="1" ht="16" customHeight="1" x14ac:dyDescent="0.2"/>
    <row r="105" s="37" customFormat="1" ht="16" customHeight="1" x14ac:dyDescent="0.2"/>
    <row r="106" s="37" customFormat="1" ht="16" customHeight="1" x14ac:dyDescent="0.2"/>
    <row r="107" s="37" customFormat="1" ht="16" customHeight="1" x14ac:dyDescent="0.2"/>
    <row r="108" s="37" customFormat="1" ht="16" customHeight="1" x14ac:dyDescent="0.2"/>
    <row r="109" s="37" customFormat="1" ht="16" customHeight="1" x14ac:dyDescent="0.2"/>
    <row r="110" s="37" customFormat="1" ht="16" customHeight="1" x14ac:dyDescent="0.2"/>
    <row r="111" s="37" customFormat="1" ht="16" customHeight="1" x14ac:dyDescent="0.2"/>
    <row r="112" s="37" customFormat="1" ht="16" customHeight="1" x14ac:dyDescent="0.2"/>
    <row r="113" s="37" customFormat="1" ht="16" customHeight="1" x14ac:dyDescent="0.2"/>
    <row r="114" s="37" customFormat="1" ht="16" customHeight="1" x14ac:dyDescent="0.2"/>
    <row r="115" s="37" customFormat="1" ht="16" customHeight="1" x14ac:dyDescent="0.2"/>
    <row r="116" s="37" customFormat="1" ht="16" customHeight="1" x14ac:dyDescent="0.2"/>
    <row r="117" s="37" customFormat="1" ht="16" customHeight="1" x14ac:dyDescent="0.2"/>
    <row r="118" s="37" customFormat="1" ht="16" customHeight="1" x14ac:dyDescent="0.2"/>
    <row r="119" s="37" customFormat="1" ht="16" customHeight="1" x14ac:dyDescent="0.2"/>
    <row r="120" s="37" customFormat="1" ht="16" customHeight="1" x14ac:dyDescent="0.2"/>
    <row r="121" s="37" customFormat="1" ht="16" customHeight="1" x14ac:dyDescent="0.2"/>
    <row r="122" s="37" customFormat="1" ht="16" customHeight="1" x14ac:dyDescent="0.2"/>
    <row r="123" s="37" customFormat="1" ht="16" customHeight="1" x14ac:dyDescent="0.2"/>
    <row r="124" s="37" customFormat="1" ht="16" customHeight="1" x14ac:dyDescent="0.2"/>
    <row r="125" s="37" customFormat="1" ht="16" customHeight="1" x14ac:dyDescent="0.2"/>
    <row r="126" s="37" customFormat="1" ht="16" customHeight="1" x14ac:dyDescent="0.2"/>
    <row r="127" s="37" customFormat="1" ht="16" customHeight="1" x14ac:dyDescent="0.2"/>
    <row r="128" s="37" customFormat="1" ht="16" customHeight="1" x14ac:dyDescent="0.2"/>
    <row r="129" s="37" customFormat="1" ht="16" customHeight="1" x14ac:dyDescent="0.2"/>
    <row r="130" s="37" customFormat="1" ht="16" customHeight="1" x14ac:dyDescent="0.2"/>
    <row r="131" s="37" customFormat="1" ht="16" customHeight="1" x14ac:dyDescent="0.2"/>
    <row r="132" s="37" customFormat="1" ht="16" customHeight="1" x14ac:dyDescent="0.2"/>
    <row r="133" s="37" customFormat="1" ht="16" customHeight="1" x14ac:dyDescent="0.2"/>
    <row r="134" s="37" customFormat="1" ht="16" customHeight="1" x14ac:dyDescent="0.2"/>
    <row r="135" s="37" customFormat="1" ht="16" customHeight="1" x14ac:dyDescent="0.2"/>
    <row r="136" s="37" customFormat="1" ht="16" customHeight="1" x14ac:dyDescent="0.2"/>
    <row r="137" s="37" customFormat="1" ht="16" customHeight="1" x14ac:dyDescent="0.2"/>
    <row r="138" s="37" customFormat="1" ht="16" customHeight="1" x14ac:dyDescent="0.2"/>
    <row r="139" s="37" customFormat="1" ht="16" customHeight="1" x14ac:dyDescent="0.2"/>
    <row r="140" s="37" customFormat="1" ht="16" customHeight="1" x14ac:dyDescent="0.2"/>
    <row r="141" s="37" customFormat="1" ht="16" customHeight="1" x14ac:dyDescent="0.2"/>
    <row r="142" s="37" customFormat="1" ht="16" customHeight="1" x14ac:dyDescent="0.2"/>
    <row r="143" s="37" customFormat="1" ht="16" customHeight="1" x14ac:dyDescent="0.2"/>
    <row r="144" s="37" customFormat="1" ht="16" customHeight="1" x14ac:dyDescent="0.2"/>
    <row r="145" s="37" customFormat="1" ht="16" customHeight="1" x14ac:dyDescent="0.2"/>
    <row r="146" s="37" customFormat="1" ht="16" customHeight="1" x14ac:dyDescent="0.2"/>
    <row r="147" s="37" customFormat="1" ht="16" customHeight="1" x14ac:dyDescent="0.2"/>
    <row r="148" s="37" customFormat="1" ht="16" customHeight="1" x14ac:dyDescent="0.2"/>
    <row r="149" s="37" customFormat="1" ht="16" customHeight="1" x14ac:dyDescent="0.2"/>
    <row r="150" s="37" customFormat="1" ht="16" customHeight="1" x14ac:dyDescent="0.2"/>
    <row r="151" s="37" customFormat="1" ht="16" customHeight="1" x14ac:dyDescent="0.2"/>
    <row r="152" s="37" customFormat="1" ht="16" customHeight="1" x14ac:dyDescent="0.2"/>
    <row r="153" s="37" customFormat="1" ht="16" customHeight="1" x14ac:dyDescent="0.2"/>
    <row r="154" s="37" customFormat="1" ht="16" customHeight="1" x14ac:dyDescent="0.2"/>
    <row r="155" s="37" customFormat="1" ht="16" customHeight="1" x14ac:dyDescent="0.2"/>
    <row r="156" s="37" customFormat="1" ht="16" customHeight="1" x14ac:dyDescent="0.2"/>
    <row r="157" s="37" customFormat="1" ht="16" customHeight="1" x14ac:dyDescent="0.2"/>
    <row r="158" s="37" customFormat="1" ht="16" customHeight="1" x14ac:dyDescent="0.2"/>
    <row r="159" s="37" customFormat="1" ht="16" customHeight="1" x14ac:dyDescent="0.2"/>
    <row r="160" s="37" customFormat="1" ht="16" customHeight="1" x14ac:dyDescent="0.2"/>
    <row r="161" s="37" customFormat="1" ht="16" customHeight="1" x14ac:dyDescent="0.2"/>
    <row r="162" s="37" customFormat="1" ht="16" customHeight="1" x14ac:dyDescent="0.2"/>
    <row r="163" s="37" customFormat="1" ht="16" customHeight="1" x14ac:dyDescent="0.2"/>
    <row r="164" s="37" customFormat="1" ht="16" customHeight="1" x14ac:dyDescent="0.2"/>
    <row r="165" s="37" customFormat="1" ht="16" customHeight="1" x14ac:dyDescent="0.2"/>
    <row r="166" s="37" customFormat="1" ht="16" customHeight="1" x14ac:dyDescent="0.2"/>
    <row r="167" s="37" customFormat="1" ht="16" customHeight="1" x14ac:dyDescent="0.2"/>
    <row r="168" s="37" customFormat="1" ht="16" customHeight="1" x14ac:dyDescent="0.2"/>
    <row r="169" s="37" customFormat="1" ht="16" customHeight="1" x14ac:dyDescent="0.2"/>
    <row r="170" s="37" customFormat="1" ht="16" customHeight="1" x14ac:dyDescent="0.2"/>
    <row r="171" s="37" customFormat="1" ht="16" customHeight="1" x14ac:dyDescent="0.2"/>
    <row r="172" s="37" customFormat="1" ht="16" customHeight="1" x14ac:dyDescent="0.2"/>
    <row r="173" s="37" customFormat="1" ht="16" customHeight="1" x14ac:dyDescent="0.2"/>
    <row r="174" s="37" customFormat="1" ht="16" customHeight="1" x14ac:dyDescent="0.2"/>
    <row r="175" s="37" customFormat="1" ht="16" customHeight="1" x14ac:dyDescent="0.2"/>
    <row r="176" s="37" customFormat="1" ht="16" customHeight="1" x14ac:dyDescent="0.2"/>
    <row r="177" s="37" customFormat="1" ht="16" customHeight="1" x14ac:dyDescent="0.2"/>
    <row r="178" s="37" customFormat="1" ht="16" customHeight="1" x14ac:dyDescent="0.2"/>
    <row r="179" s="37" customFormat="1" ht="16" customHeight="1" x14ac:dyDescent="0.2"/>
    <row r="180" s="37" customFormat="1" ht="16" customHeight="1" x14ac:dyDescent="0.2"/>
    <row r="181" s="37" customFormat="1" ht="16" customHeight="1" x14ac:dyDescent="0.2"/>
    <row r="182" s="37" customFormat="1" ht="16" customHeight="1" x14ac:dyDescent="0.2"/>
    <row r="183" s="37" customFormat="1" ht="16" customHeight="1" x14ac:dyDescent="0.2"/>
    <row r="184" s="37" customFormat="1" ht="16" customHeight="1" x14ac:dyDescent="0.2"/>
    <row r="185" s="37" customFormat="1" ht="16" customHeight="1" x14ac:dyDescent="0.2"/>
    <row r="186" s="37" customFormat="1" ht="16" customHeight="1" x14ac:dyDescent="0.2"/>
    <row r="187" s="37" customFormat="1" ht="16" customHeight="1" x14ac:dyDescent="0.2"/>
    <row r="188" s="37" customFormat="1" ht="16" customHeight="1" x14ac:dyDescent="0.2"/>
    <row r="189" s="37" customFormat="1" ht="16" customHeight="1" x14ac:dyDescent="0.2"/>
    <row r="190" s="37" customFormat="1" ht="16" customHeight="1" x14ac:dyDescent="0.2"/>
    <row r="191" s="37" customFormat="1" ht="16" customHeight="1" x14ac:dyDescent="0.2"/>
    <row r="192" s="37" customFormat="1" ht="16" customHeight="1" x14ac:dyDescent="0.2"/>
    <row r="193" s="37" customFormat="1" ht="16" customHeight="1" x14ac:dyDescent="0.2"/>
    <row r="194" s="37" customFormat="1" ht="16" customHeight="1" x14ac:dyDescent="0.2"/>
    <row r="195" s="37" customFormat="1" ht="16" customHeight="1" x14ac:dyDescent="0.2"/>
    <row r="196" s="37" customFormat="1" ht="16" customHeight="1" x14ac:dyDescent="0.2"/>
    <row r="197" s="37" customFormat="1" ht="16" customHeight="1" x14ac:dyDescent="0.2"/>
    <row r="198" s="37" customFormat="1" ht="16" customHeight="1" x14ac:dyDescent="0.2"/>
    <row r="199" s="37" customFormat="1" ht="16" customHeight="1" x14ac:dyDescent="0.2"/>
    <row r="200" s="37" customFormat="1" ht="16" customHeight="1" x14ac:dyDescent="0.2"/>
  </sheetData>
  <mergeCells count="15">
    <mergeCell ref="A3:L3"/>
    <mergeCell ref="A5:D5"/>
    <mergeCell ref="A7:E10"/>
    <mergeCell ref="F7:L7"/>
    <mergeCell ref="F8:F9"/>
    <mergeCell ref="G8:G9"/>
    <mergeCell ref="H8:H9"/>
    <mergeCell ref="I8:I9"/>
    <mergeCell ref="J8:J9"/>
    <mergeCell ref="K8:L8"/>
    <mergeCell ref="A11:E11"/>
    <mergeCell ref="A24:E24"/>
    <mergeCell ref="A59:L59"/>
    <mergeCell ref="A60:L60"/>
    <mergeCell ref="A61:L61"/>
  </mergeCells>
  <printOptions horizontalCentered="1"/>
  <pageMargins left="0.7" right="0.7" top="0.75" bottom="0.75" header="0.3" footer="0.3"/>
  <pageSetup paperSize="9" scale="77"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420B8-90D7-4D86-B2CE-3078E47299A3}">
  <sheetPr codeName="Tabelle23">
    <pageSetUpPr fitToPage="1"/>
  </sheetPr>
  <dimension ref="A1:O200"/>
  <sheetViews>
    <sheetView showGridLines="0" zoomScaleNormal="100" workbookViewId="0"/>
  </sheetViews>
  <sheetFormatPr defaultColWidth="8.81640625" defaultRowHeight="16" customHeight="1" x14ac:dyDescent="0.2"/>
  <cols>
    <col min="1" max="1" width="9.7265625" style="37" customWidth="1"/>
    <col min="2" max="2" width="48.7265625" style="37" customWidth="1"/>
    <col min="3" max="3" width="6.7265625" style="61" customWidth="1"/>
    <col min="4" max="9" width="9.7265625" style="90" customWidth="1"/>
    <col min="10" max="10" width="9.7265625" style="91" customWidth="1"/>
    <col min="11" max="11" width="9.7265625" style="37" customWidth="1"/>
    <col min="12" max="16384" width="8.81640625" style="37"/>
  </cols>
  <sheetData>
    <row r="1" spans="1:15" customFormat="1" ht="36.75" customHeight="1" x14ac:dyDescent="0.25">
      <c r="A1" s="30"/>
      <c r="B1" s="31"/>
      <c r="C1" s="161"/>
      <c r="D1" s="31"/>
      <c r="E1" s="31"/>
      <c r="F1" s="31"/>
      <c r="G1" s="31"/>
      <c r="H1" s="31"/>
      <c r="I1" s="31"/>
      <c r="J1" s="32" t="s">
        <v>40</v>
      </c>
    </row>
    <row r="2" spans="1:15" customFormat="1" ht="11.25" customHeight="1" x14ac:dyDescent="0.25">
      <c r="A2" s="33"/>
      <c r="B2" s="34"/>
      <c r="C2" s="163"/>
      <c r="D2" s="34"/>
      <c r="E2" s="34"/>
      <c r="F2" s="34"/>
      <c r="G2" s="34"/>
      <c r="H2" s="34"/>
      <c r="I2" s="34"/>
      <c r="J2" s="34"/>
    </row>
    <row r="3" spans="1:15" s="35" customFormat="1" ht="25" customHeight="1" x14ac:dyDescent="0.35">
      <c r="A3" s="444" t="s">
        <v>358</v>
      </c>
      <c r="B3" s="445"/>
      <c r="C3" s="445"/>
      <c r="D3" s="445"/>
      <c r="E3" s="445"/>
      <c r="F3" s="445"/>
      <c r="G3" s="445"/>
      <c r="H3" s="445"/>
      <c r="I3" s="445"/>
      <c r="J3" s="445"/>
    </row>
    <row r="4" spans="1:15" s="35" customFormat="1" ht="12" customHeight="1" x14ac:dyDescent="0.35">
      <c r="A4" s="446" t="s">
        <v>86</v>
      </c>
      <c r="B4" s="446"/>
      <c r="C4" s="446"/>
      <c r="D4" s="446"/>
      <c r="E4" s="446"/>
      <c r="F4" s="446"/>
      <c r="G4" s="446"/>
      <c r="H4" s="446"/>
      <c r="I4" s="446"/>
      <c r="J4" s="446"/>
    </row>
    <row r="5" spans="1:15" s="35" customFormat="1" ht="12" customHeight="1" x14ac:dyDescent="0.35">
      <c r="A5" s="447" t="s">
        <v>336</v>
      </c>
      <c r="B5" s="447"/>
      <c r="C5" s="447"/>
      <c r="D5" s="447"/>
      <c r="E5" s="165"/>
      <c r="F5" s="165"/>
      <c r="G5" s="165"/>
      <c r="H5" s="165"/>
      <c r="I5" s="165"/>
      <c r="J5" s="165"/>
    </row>
    <row r="6" spans="1:15" s="35" customFormat="1" ht="11.25" customHeight="1" x14ac:dyDescent="0.35">
      <c r="A6" s="145"/>
      <c r="B6" s="146"/>
      <c r="C6" s="146"/>
      <c r="D6" s="146"/>
      <c r="E6" s="146"/>
      <c r="F6" s="146"/>
      <c r="G6" s="146"/>
      <c r="H6" s="146"/>
      <c r="I6" s="146"/>
      <c r="J6" s="146"/>
    </row>
    <row r="7" spans="1:15" customFormat="1" ht="25" customHeight="1" x14ac:dyDescent="0.25">
      <c r="A7" s="462" t="s">
        <v>209</v>
      </c>
      <c r="B7" s="463"/>
      <c r="C7" s="456" t="s">
        <v>88</v>
      </c>
      <c r="D7" s="513" t="s">
        <v>359</v>
      </c>
      <c r="E7" s="514"/>
      <c r="F7" s="514"/>
      <c r="G7" s="514"/>
      <c r="H7" s="515"/>
      <c r="I7" s="516" t="s">
        <v>360</v>
      </c>
      <c r="J7" s="517"/>
      <c r="K7" s="37"/>
      <c r="L7" s="37"/>
      <c r="M7" s="37"/>
      <c r="N7" s="37"/>
      <c r="O7" s="37"/>
    </row>
    <row r="8" spans="1:15" ht="21.75" customHeight="1" x14ac:dyDescent="0.2">
      <c r="A8" s="487"/>
      <c r="B8" s="488"/>
      <c r="C8" s="457"/>
      <c r="D8" s="438" t="s">
        <v>336</v>
      </c>
      <c r="E8" s="438" t="s">
        <v>338</v>
      </c>
      <c r="F8" s="438" t="s">
        <v>339</v>
      </c>
      <c r="G8" s="438" t="s">
        <v>340</v>
      </c>
      <c r="H8" s="438" t="s">
        <v>341</v>
      </c>
      <c r="I8" s="518"/>
      <c r="J8" s="519"/>
    </row>
    <row r="9" spans="1:15" ht="12" customHeight="1" x14ac:dyDescent="0.2">
      <c r="A9" s="487"/>
      <c r="B9" s="488"/>
      <c r="C9" s="457"/>
      <c r="D9" s="439"/>
      <c r="E9" s="439"/>
      <c r="F9" s="439"/>
      <c r="G9" s="439"/>
      <c r="H9" s="439"/>
      <c r="I9" s="38" t="s">
        <v>96</v>
      </c>
      <c r="J9" s="39" t="s">
        <v>97</v>
      </c>
    </row>
    <row r="10" spans="1:15" ht="12" customHeight="1" x14ac:dyDescent="0.2">
      <c r="A10" s="180"/>
      <c r="B10" s="181"/>
      <c r="C10" s="458"/>
      <c r="D10" s="40">
        <v>1</v>
      </c>
      <c r="E10" s="40">
        <v>2</v>
      </c>
      <c r="F10" s="40">
        <v>3</v>
      </c>
      <c r="G10" s="40">
        <v>4</v>
      </c>
      <c r="H10" s="40">
        <v>5</v>
      </c>
      <c r="I10" s="40">
        <v>6</v>
      </c>
      <c r="J10" s="40">
        <v>7</v>
      </c>
      <c r="K10" s="41"/>
    </row>
    <row r="11" spans="1:15" s="119" customFormat="1" ht="25" customHeight="1" x14ac:dyDescent="0.2">
      <c r="A11" s="485" t="s">
        <v>98</v>
      </c>
      <c r="B11" s="486"/>
      <c r="C11" s="52">
        <v>100</v>
      </c>
      <c r="D11" s="54">
        <v>4822</v>
      </c>
      <c r="E11" s="53">
        <v>5180</v>
      </c>
      <c r="F11" s="53">
        <v>3451</v>
      </c>
      <c r="G11" s="53">
        <v>6212</v>
      </c>
      <c r="H11" s="79">
        <v>4313</v>
      </c>
      <c r="I11" s="54">
        <v>509</v>
      </c>
      <c r="J11" s="55">
        <v>11.801530257361465</v>
      </c>
    </row>
    <row r="12" spans="1:15" ht="25" customHeight="1" x14ac:dyDescent="0.2">
      <c r="A12" s="120" t="s">
        <v>126</v>
      </c>
      <c r="B12" s="121" t="s">
        <v>127</v>
      </c>
      <c r="C12" s="52">
        <v>1.9079220240564081</v>
      </c>
      <c r="D12" s="54">
        <v>92</v>
      </c>
      <c r="E12" s="53">
        <v>134</v>
      </c>
      <c r="F12" s="53">
        <v>62</v>
      </c>
      <c r="G12" s="53">
        <v>137</v>
      </c>
      <c r="H12" s="79">
        <v>113</v>
      </c>
      <c r="I12" s="54">
        <v>-21</v>
      </c>
      <c r="J12" s="55">
        <v>-18.584070796460178</v>
      </c>
    </row>
    <row r="13" spans="1:15" ht="25" customHeight="1" x14ac:dyDescent="0.2">
      <c r="A13" s="120" t="s">
        <v>128</v>
      </c>
      <c r="B13" s="126" t="s">
        <v>210</v>
      </c>
      <c r="C13" s="52">
        <v>1.9286603069265864</v>
      </c>
      <c r="D13" s="54">
        <v>93</v>
      </c>
      <c r="E13" s="53">
        <v>84</v>
      </c>
      <c r="F13" s="53">
        <v>68</v>
      </c>
      <c r="G13" s="53">
        <v>119</v>
      </c>
      <c r="H13" s="79">
        <v>149</v>
      </c>
      <c r="I13" s="54">
        <v>-56</v>
      </c>
      <c r="J13" s="55">
        <v>-37.583892617449663</v>
      </c>
    </row>
    <row r="14" spans="1:15" s="140" customFormat="1" ht="25" customHeight="1" x14ac:dyDescent="0.2">
      <c r="A14" s="120" t="s">
        <v>211</v>
      </c>
      <c r="B14" s="126" t="s">
        <v>131</v>
      </c>
      <c r="C14" s="52">
        <v>20.46868519286603</v>
      </c>
      <c r="D14" s="54">
        <v>987</v>
      </c>
      <c r="E14" s="53">
        <v>1124</v>
      </c>
      <c r="F14" s="53">
        <v>489</v>
      </c>
      <c r="G14" s="53">
        <v>1074</v>
      </c>
      <c r="H14" s="79">
        <v>713</v>
      </c>
      <c r="I14" s="54">
        <v>274</v>
      </c>
      <c r="J14" s="55">
        <v>38.429172510518931</v>
      </c>
      <c r="K14" s="37"/>
      <c r="L14" s="37"/>
      <c r="M14" s="37"/>
      <c r="N14" s="37"/>
      <c r="O14" s="37"/>
    </row>
    <row r="15" spans="1:15" ht="25" customHeight="1" x14ac:dyDescent="0.2">
      <c r="A15" s="120" t="s">
        <v>212</v>
      </c>
      <c r="B15" s="126" t="s">
        <v>213</v>
      </c>
      <c r="C15" s="52">
        <v>10.389879717959353</v>
      </c>
      <c r="D15" s="54">
        <v>501</v>
      </c>
      <c r="E15" s="53">
        <v>412</v>
      </c>
      <c r="F15" s="53">
        <v>189</v>
      </c>
      <c r="G15" s="53">
        <v>356</v>
      </c>
      <c r="H15" s="79">
        <v>321</v>
      </c>
      <c r="I15" s="54">
        <v>180</v>
      </c>
      <c r="J15" s="55">
        <v>56.074766355140184</v>
      </c>
    </row>
    <row r="16" spans="1:15" s="140" customFormat="1" ht="25" customHeight="1" x14ac:dyDescent="0.2">
      <c r="A16" s="120" t="s">
        <v>214</v>
      </c>
      <c r="B16" s="126" t="s">
        <v>135</v>
      </c>
      <c r="C16" s="52">
        <v>7.3828287017834926</v>
      </c>
      <c r="D16" s="54">
        <v>356</v>
      </c>
      <c r="E16" s="53">
        <v>570</v>
      </c>
      <c r="F16" s="53">
        <v>216</v>
      </c>
      <c r="G16" s="53">
        <v>478</v>
      </c>
      <c r="H16" s="79">
        <v>241</v>
      </c>
      <c r="I16" s="54">
        <v>115</v>
      </c>
      <c r="J16" s="55">
        <v>47.717842323651453</v>
      </c>
      <c r="K16" s="37"/>
      <c r="L16" s="37"/>
      <c r="M16" s="37"/>
      <c r="N16" s="37"/>
      <c r="O16" s="37"/>
    </row>
    <row r="17" spans="1:15" ht="25" customHeight="1" x14ac:dyDescent="0.2">
      <c r="A17" s="120" t="s">
        <v>136</v>
      </c>
      <c r="B17" s="126" t="s">
        <v>216</v>
      </c>
      <c r="C17" s="52">
        <v>2.6959767731231854</v>
      </c>
      <c r="D17" s="54">
        <v>130</v>
      </c>
      <c r="E17" s="53">
        <v>142</v>
      </c>
      <c r="F17" s="53">
        <v>84</v>
      </c>
      <c r="G17" s="53">
        <v>240</v>
      </c>
      <c r="H17" s="79">
        <v>151</v>
      </c>
      <c r="I17" s="54">
        <v>-21</v>
      </c>
      <c r="J17" s="55">
        <v>-13.907284768211921</v>
      </c>
    </row>
    <row r="18" spans="1:15" s="140" customFormat="1" ht="25" customHeight="1" x14ac:dyDescent="0.2">
      <c r="A18" s="128" t="s">
        <v>138</v>
      </c>
      <c r="B18" s="129" t="s">
        <v>139</v>
      </c>
      <c r="C18" s="52">
        <v>7.2998755703027793</v>
      </c>
      <c r="D18" s="54">
        <v>352</v>
      </c>
      <c r="E18" s="53">
        <v>343</v>
      </c>
      <c r="F18" s="53">
        <v>141</v>
      </c>
      <c r="G18" s="53">
        <v>419</v>
      </c>
      <c r="H18" s="79">
        <v>282</v>
      </c>
      <c r="I18" s="54">
        <v>70</v>
      </c>
      <c r="J18" s="55">
        <v>24.822695035460992</v>
      </c>
      <c r="K18" s="37"/>
      <c r="L18" s="37"/>
      <c r="M18" s="37"/>
      <c r="N18" s="37"/>
      <c r="O18" s="37"/>
    </row>
    <row r="19" spans="1:15" ht="25" customHeight="1" x14ac:dyDescent="0.2">
      <c r="A19" s="120" t="s">
        <v>140</v>
      </c>
      <c r="B19" s="126" t="s">
        <v>141</v>
      </c>
      <c r="C19" s="52">
        <v>11.074243052675239</v>
      </c>
      <c r="D19" s="54">
        <v>534</v>
      </c>
      <c r="E19" s="53">
        <v>549</v>
      </c>
      <c r="F19" s="53">
        <v>420</v>
      </c>
      <c r="G19" s="53">
        <v>726</v>
      </c>
      <c r="H19" s="79">
        <v>462</v>
      </c>
      <c r="I19" s="54">
        <v>72</v>
      </c>
      <c r="J19" s="55">
        <v>15.584415584415584</v>
      </c>
    </row>
    <row r="20" spans="1:15" s="140" customFormat="1" ht="25" customHeight="1" x14ac:dyDescent="0.2">
      <c r="A20" s="120" t="s">
        <v>142</v>
      </c>
      <c r="B20" s="126" t="s">
        <v>143</v>
      </c>
      <c r="C20" s="52">
        <v>3.6291995022812111</v>
      </c>
      <c r="D20" s="54">
        <v>175</v>
      </c>
      <c r="E20" s="53">
        <v>218</v>
      </c>
      <c r="F20" s="53">
        <v>176</v>
      </c>
      <c r="G20" s="53">
        <v>202</v>
      </c>
      <c r="H20" s="79">
        <v>217</v>
      </c>
      <c r="I20" s="54">
        <v>-42</v>
      </c>
      <c r="J20" s="55">
        <v>-19.35483870967742</v>
      </c>
      <c r="K20" s="37"/>
      <c r="L20" s="37"/>
      <c r="M20" s="37"/>
      <c r="N20" s="37"/>
      <c r="O20" s="37"/>
    </row>
    <row r="21" spans="1:15" ht="25" customHeight="1" x14ac:dyDescent="0.2">
      <c r="A21" s="128" t="s">
        <v>144</v>
      </c>
      <c r="B21" s="129" t="s">
        <v>145</v>
      </c>
      <c r="C21" s="52">
        <v>9.4981335545416847</v>
      </c>
      <c r="D21" s="54">
        <v>458</v>
      </c>
      <c r="E21" s="53">
        <v>313</v>
      </c>
      <c r="F21" s="53">
        <v>199</v>
      </c>
      <c r="G21" s="53">
        <v>282</v>
      </c>
      <c r="H21" s="79">
        <v>395</v>
      </c>
      <c r="I21" s="54">
        <v>63</v>
      </c>
      <c r="J21" s="55">
        <v>15.949367088607595</v>
      </c>
    </row>
    <row r="22" spans="1:15" ht="25" customHeight="1" x14ac:dyDescent="0.2">
      <c r="A22" s="128" t="s">
        <v>146</v>
      </c>
      <c r="B22" s="126" t="s">
        <v>147</v>
      </c>
      <c r="C22" s="52">
        <v>0.82953131480713393</v>
      </c>
      <c r="D22" s="54">
        <v>40</v>
      </c>
      <c r="E22" s="53">
        <v>57</v>
      </c>
      <c r="F22" s="53">
        <v>37</v>
      </c>
      <c r="G22" s="53">
        <v>46</v>
      </c>
      <c r="H22" s="79">
        <v>27</v>
      </c>
      <c r="I22" s="54">
        <v>13</v>
      </c>
      <c r="J22" s="55">
        <v>48.148148148148145</v>
      </c>
    </row>
    <row r="23" spans="1:15" ht="25" customHeight="1" x14ac:dyDescent="0.2">
      <c r="A23" s="120" t="s">
        <v>148</v>
      </c>
      <c r="B23" s="126" t="s">
        <v>149</v>
      </c>
      <c r="C23" s="52">
        <v>0.89174616341766899</v>
      </c>
      <c r="D23" s="54">
        <v>43</v>
      </c>
      <c r="E23" s="53">
        <v>36</v>
      </c>
      <c r="F23" s="53">
        <v>41</v>
      </c>
      <c r="G23" s="53">
        <v>47</v>
      </c>
      <c r="H23" s="79">
        <v>29</v>
      </c>
      <c r="I23" s="54">
        <v>14</v>
      </c>
      <c r="J23" s="55">
        <v>48.275862068965516</v>
      </c>
    </row>
    <row r="24" spans="1:15" ht="25" customHeight="1" x14ac:dyDescent="0.2">
      <c r="A24" s="120" t="s">
        <v>150</v>
      </c>
      <c r="B24" s="126" t="s">
        <v>217</v>
      </c>
      <c r="C24" s="52">
        <v>4.2720862712567396</v>
      </c>
      <c r="D24" s="54">
        <v>206</v>
      </c>
      <c r="E24" s="53">
        <v>290</v>
      </c>
      <c r="F24" s="53">
        <v>161</v>
      </c>
      <c r="G24" s="53">
        <v>326</v>
      </c>
      <c r="H24" s="79">
        <v>219</v>
      </c>
      <c r="I24" s="54">
        <v>-13</v>
      </c>
      <c r="J24" s="55">
        <v>-5.9360730593607309</v>
      </c>
    </row>
    <row r="25" spans="1:15" ht="25" customHeight="1" x14ac:dyDescent="0.2">
      <c r="A25" s="120" t="s">
        <v>152</v>
      </c>
      <c r="B25" s="131" t="s">
        <v>153</v>
      </c>
      <c r="C25" s="52">
        <v>12.173372044794691</v>
      </c>
      <c r="D25" s="54">
        <v>587</v>
      </c>
      <c r="E25" s="53">
        <v>485</v>
      </c>
      <c r="F25" s="53">
        <v>485</v>
      </c>
      <c r="G25" s="53">
        <v>627</v>
      </c>
      <c r="H25" s="79">
        <v>521</v>
      </c>
      <c r="I25" s="54">
        <v>66</v>
      </c>
      <c r="J25" s="55">
        <v>12.667946257197697</v>
      </c>
    </row>
    <row r="26" spans="1:15" ht="25" customHeight="1" x14ac:dyDescent="0.2">
      <c r="A26" s="120" t="s">
        <v>219</v>
      </c>
      <c r="B26" s="131" t="s">
        <v>155</v>
      </c>
      <c r="C26" s="52">
        <v>7.6109498133554538</v>
      </c>
      <c r="D26" s="54">
        <v>367</v>
      </c>
      <c r="E26" s="53">
        <v>302</v>
      </c>
      <c r="F26" s="53">
        <v>243</v>
      </c>
      <c r="G26" s="53">
        <v>300</v>
      </c>
      <c r="H26" s="79">
        <v>345</v>
      </c>
      <c r="I26" s="54">
        <v>22</v>
      </c>
      <c r="J26" s="55">
        <v>6.3768115942028984</v>
      </c>
    </row>
    <row r="27" spans="1:15" ht="25" customHeight="1" x14ac:dyDescent="0.2">
      <c r="A27" s="128">
        <v>782.78300000000002</v>
      </c>
      <c r="B27" s="130" t="s">
        <v>156</v>
      </c>
      <c r="C27" s="52">
        <v>4.5624222314392364</v>
      </c>
      <c r="D27" s="54">
        <v>220</v>
      </c>
      <c r="E27" s="53">
        <v>183</v>
      </c>
      <c r="F27" s="53">
        <v>242</v>
      </c>
      <c r="G27" s="53">
        <v>327</v>
      </c>
      <c r="H27" s="79">
        <v>176</v>
      </c>
      <c r="I27" s="54">
        <v>44</v>
      </c>
      <c r="J27" s="55">
        <v>25</v>
      </c>
    </row>
    <row r="28" spans="1:15" ht="25" customHeight="1" x14ac:dyDescent="0.2">
      <c r="A28" s="120" t="s">
        <v>157</v>
      </c>
      <c r="B28" s="126" t="s">
        <v>158</v>
      </c>
      <c r="C28" s="52">
        <v>2.8618830360846124</v>
      </c>
      <c r="D28" s="54">
        <v>138</v>
      </c>
      <c r="E28" s="53">
        <v>187</v>
      </c>
      <c r="F28" s="53">
        <v>117</v>
      </c>
      <c r="G28" s="53">
        <v>253</v>
      </c>
      <c r="H28" s="79">
        <v>143</v>
      </c>
      <c r="I28" s="54">
        <v>-5</v>
      </c>
      <c r="J28" s="55">
        <v>-3.4965034965034967</v>
      </c>
    </row>
    <row r="29" spans="1:15" ht="25" customHeight="1" x14ac:dyDescent="0.2">
      <c r="A29" s="120" t="s">
        <v>159</v>
      </c>
      <c r="B29" s="126" t="s">
        <v>160</v>
      </c>
      <c r="C29" s="52">
        <v>2.3019493985897967</v>
      </c>
      <c r="D29" s="54">
        <v>111</v>
      </c>
      <c r="E29" s="53">
        <v>179</v>
      </c>
      <c r="F29" s="53">
        <v>142</v>
      </c>
      <c r="G29" s="53">
        <v>309</v>
      </c>
      <c r="H29" s="79">
        <v>109</v>
      </c>
      <c r="I29" s="54">
        <v>2</v>
      </c>
      <c r="J29" s="55">
        <v>1.834862385321101</v>
      </c>
    </row>
    <row r="30" spans="1:15" ht="25" customHeight="1" x14ac:dyDescent="0.2">
      <c r="A30" s="120">
        <v>86</v>
      </c>
      <c r="B30" s="126" t="s">
        <v>161</v>
      </c>
      <c r="C30" s="52">
        <v>5.0808793031936954</v>
      </c>
      <c r="D30" s="54">
        <v>245</v>
      </c>
      <c r="E30" s="53">
        <v>315</v>
      </c>
      <c r="F30" s="53">
        <v>191</v>
      </c>
      <c r="G30" s="53">
        <v>508</v>
      </c>
      <c r="H30" s="79">
        <v>215</v>
      </c>
      <c r="I30" s="54">
        <v>30</v>
      </c>
      <c r="J30" s="55">
        <v>13.953488372093023</v>
      </c>
    </row>
    <row r="31" spans="1:15" ht="25" customHeight="1" x14ac:dyDescent="0.2">
      <c r="A31" s="120">
        <v>87.88</v>
      </c>
      <c r="B31" s="131" t="s">
        <v>162</v>
      </c>
      <c r="C31" s="52">
        <v>10.223973454997926</v>
      </c>
      <c r="D31" s="54">
        <v>493</v>
      </c>
      <c r="E31" s="53">
        <v>577</v>
      </c>
      <c r="F31" s="53">
        <v>483</v>
      </c>
      <c r="G31" s="53">
        <v>758</v>
      </c>
      <c r="H31" s="79">
        <v>404</v>
      </c>
      <c r="I31" s="54">
        <v>89</v>
      </c>
      <c r="J31" s="55">
        <v>22.029702970297031</v>
      </c>
    </row>
    <row r="32" spans="1:15" ht="25" customHeight="1" x14ac:dyDescent="0.2">
      <c r="A32" s="120" t="s">
        <v>163</v>
      </c>
      <c r="B32" s="126" t="s">
        <v>164</v>
      </c>
      <c r="C32" s="52">
        <v>5.5578598092077973</v>
      </c>
      <c r="D32" s="54">
        <v>268</v>
      </c>
      <c r="E32" s="53">
        <v>289</v>
      </c>
      <c r="F32" s="53">
        <v>239</v>
      </c>
      <c r="G32" s="53">
        <v>379</v>
      </c>
      <c r="H32" s="79">
        <v>315</v>
      </c>
      <c r="I32" s="54">
        <v>-47</v>
      </c>
      <c r="J32" s="55">
        <v>-14.920634920634921</v>
      </c>
    </row>
    <row r="33" spans="1:10" ht="25" customHeight="1" x14ac:dyDescent="0.2">
      <c r="A33" s="120"/>
      <c r="B33" s="131" t="s">
        <v>165</v>
      </c>
      <c r="C33" s="52">
        <v>0</v>
      </c>
      <c r="D33" s="54">
        <v>0</v>
      </c>
      <c r="E33" s="53">
        <v>0</v>
      </c>
      <c r="F33" s="53">
        <v>0</v>
      </c>
      <c r="G33" s="53">
        <v>0</v>
      </c>
      <c r="H33" s="79">
        <v>0</v>
      </c>
      <c r="I33" s="54">
        <v>0</v>
      </c>
      <c r="J33" s="55">
        <v>0</v>
      </c>
    </row>
    <row r="34" spans="1:10" ht="25" customHeight="1" x14ac:dyDescent="0.2">
      <c r="A34" s="132" t="s">
        <v>166</v>
      </c>
      <c r="B34" s="133"/>
      <c r="C34" s="183"/>
      <c r="D34" s="54"/>
      <c r="E34" s="53"/>
      <c r="F34" s="53"/>
      <c r="G34" s="53"/>
      <c r="H34" s="79"/>
      <c r="I34" s="76"/>
      <c r="J34" s="77"/>
    </row>
    <row r="35" spans="1:10" ht="25" customHeight="1" x14ac:dyDescent="0.2">
      <c r="A35" s="184" t="s">
        <v>126</v>
      </c>
      <c r="B35" s="185" t="s">
        <v>127</v>
      </c>
      <c r="C35" s="52">
        <v>1.9079220240564081</v>
      </c>
      <c r="D35" s="54">
        <v>92</v>
      </c>
      <c r="E35" s="53">
        <v>134</v>
      </c>
      <c r="F35" s="53">
        <v>62</v>
      </c>
      <c r="G35" s="53">
        <v>137</v>
      </c>
      <c r="H35" s="79">
        <v>113</v>
      </c>
      <c r="I35" s="54">
        <v>-21</v>
      </c>
      <c r="J35" s="55">
        <v>-18.584070796460178</v>
      </c>
    </row>
    <row r="36" spans="1:10" ht="25" customHeight="1" x14ac:dyDescent="0.2">
      <c r="A36" s="186" t="s">
        <v>167</v>
      </c>
      <c r="B36" s="187" t="s">
        <v>168</v>
      </c>
      <c r="C36" s="52">
        <v>29.697221070095395</v>
      </c>
      <c r="D36" s="54">
        <v>1432</v>
      </c>
      <c r="E36" s="53">
        <v>1551</v>
      </c>
      <c r="F36" s="53">
        <v>698</v>
      </c>
      <c r="G36" s="53">
        <v>1612</v>
      </c>
      <c r="H36" s="79">
        <v>1144</v>
      </c>
      <c r="I36" s="54">
        <v>288</v>
      </c>
      <c r="J36" s="55">
        <v>25.174825174825173</v>
      </c>
    </row>
    <row r="37" spans="1:10" ht="25" customHeight="1" x14ac:dyDescent="0.2">
      <c r="A37" s="188" t="s">
        <v>169</v>
      </c>
      <c r="B37" s="189" t="s">
        <v>170</v>
      </c>
      <c r="C37" s="64">
        <v>68.394856905848201</v>
      </c>
      <c r="D37" s="82">
        <v>3298</v>
      </c>
      <c r="E37" s="83">
        <v>3495</v>
      </c>
      <c r="F37" s="83">
        <v>2691</v>
      </c>
      <c r="G37" s="83">
        <v>4463</v>
      </c>
      <c r="H37" s="84">
        <v>3056</v>
      </c>
      <c r="I37" s="82">
        <v>242</v>
      </c>
      <c r="J37" s="85">
        <v>7.9188481675392675</v>
      </c>
    </row>
    <row r="38" spans="1:10" s="87" customFormat="1" ht="11.25" customHeight="1" x14ac:dyDescent="0.2">
      <c r="A38" s="232"/>
      <c r="J38" s="88" t="s">
        <v>37</v>
      </c>
    </row>
    <row r="39" spans="1:10" s="87" customFormat="1" ht="12.75" customHeight="1" x14ac:dyDescent="0.2">
      <c r="A39" s="87" t="s">
        <v>116</v>
      </c>
    </row>
    <row r="40" spans="1:10" s="60" customFormat="1" ht="21" customHeight="1" x14ac:dyDescent="0.2">
      <c r="A40" s="512" t="s">
        <v>361</v>
      </c>
      <c r="B40" s="489"/>
      <c r="C40" s="489"/>
      <c r="D40" s="489"/>
      <c r="E40" s="489"/>
      <c r="F40" s="489"/>
      <c r="G40" s="489"/>
      <c r="H40" s="489"/>
      <c r="I40" s="489"/>
      <c r="J40" s="489"/>
    </row>
    <row r="41" spans="1:10" s="60" customFormat="1" ht="30.65" customHeight="1" x14ac:dyDescent="0.2">
      <c r="A41" s="489" t="s">
        <v>362</v>
      </c>
      <c r="B41" s="489"/>
      <c r="C41" s="489"/>
      <c r="D41" s="489"/>
      <c r="E41" s="489"/>
      <c r="F41" s="489"/>
      <c r="G41" s="489"/>
      <c r="H41" s="489"/>
      <c r="I41" s="489"/>
      <c r="J41" s="489"/>
    </row>
    <row r="42" spans="1:10" s="60" customFormat="1" ht="12.75" customHeight="1" x14ac:dyDescent="0.2"/>
    <row r="43" spans="1:10" s="60" customFormat="1" ht="12.75" customHeight="1" x14ac:dyDescent="0.2"/>
    <row r="44" spans="1:10" ht="12.75" customHeight="1" x14ac:dyDescent="0.2">
      <c r="C44" s="37"/>
      <c r="D44" s="37"/>
      <c r="E44" s="37"/>
      <c r="F44" s="37"/>
      <c r="G44" s="37"/>
      <c r="H44" s="37"/>
      <c r="I44" s="37"/>
      <c r="J44" s="37"/>
    </row>
    <row r="45" spans="1:10" ht="16" customHeight="1" x14ac:dyDescent="0.2">
      <c r="C45" s="37"/>
      <c r="D45" s="37"/>
      <c r="E45" s="37"/>
      <c r="F45" s="37"/>
      <c r="G45" s="37"/>
      <c r="H45" s="37"/>
      <c r="I45" s="37"/>
      <c r="J45" s="37"/>
    </row>
    <row r="46" spans="1:10" ht="16" customHeight="1" x14ac:dyDescent="0.2">
      <c r="C46" s="37"/>
      <c r="D46" s="37"/>
      <c r="E46" s="37"/>
      <c r="F46" s="37"/>
      <c r="G46" s="37"/>
      <c r="H46" s="37"/>
      <c r="I46" s="37"/>
      <c r="J46" s="37"/>
    </row>
    <row r="47" spans="1:10" ht="16" customHeight="1" x14ac:dyDescent="0.2">
      <c r="C47" s="37"/>
      <c r="D47" s="37"/>
      <c r="E47" s="37"/>
      <c r="F47" s="37"/>
      <c r="G47" s="37"/>
      <c r="H47" s="37"/>
      <c r="I47" s="37"/>
      <c r="J47" s="37"/>
    </row>
    <row r="48" spans="1:10" ht="16" customHeight="1" x14ac:dyDescent="0.2">
      <c r="C48" s="37"/>
      <c r="D48" s="37"/>
      <c r="E48" s="37"/>
      <c r="F48" s="37"/>
      <c r="G48" s="37"/>
      <c r="H48" s="37"/>
      <c r="I48" s="37"/>
      <c r="J48" s="37"/>
    </row>
    <row r="49" s="37" customFormat="1" ht="16" customHeight="1" x14ac:dyDescent="0.2"/>
    <row r="50" s="37" customFormat="1" ht="16" customHeight="1" x14ac:dyDescent="0.2"/>
    <row r="51" s="37" customFormat="1" ht="16" customHeight="1" x14ac:dyDescent="0.2"/>
    <row r="52" s="37" customFormat="1" ht="16" customHeight="1" x14ac:dyDescent="0.2"/>
    <row r="53" s="37" customFormat="1" ht="16" customHeight="1" x14ac:dyDescent="0.2"/>
    <row r="54" s="37" customFormat="1" ht="16" customHeight="1" x14ac:dyDescent="0.2"/>
    <row r="55" s="37" customFormat="1" ht="16" customHeight="1" x14ac:dyDescent="0.2"/>
    <row r="56" s="37" customFormat="1" ht="16" customHeight="1" x14ac:dyDescent="0.2"/>
    <row r="57" s="37" customFormat="1" ht="16" customHeight="1" x14ac:dyDescent="0.2"/>
    <row r="58" s="37" customFormat="1" ht="16" customHeight="1" x14ac:dyDescent="0.2"/>
    <row r="59" s="37" customFormat="1" ht="16" customHeight="1" x14ac:dyDescent="0.2"/>
    <row r="60" s="37" customFormat="1" ht="16" customHeight="1" x14ac:dyDescent="0.2"/>
    <row r="61" s="37" customFormat="1" ht="16" customHeight="1" x14ac:dyDescent="0.2"/>
    <row r="62" s="37" customFormat="1" ht="16" customHeight="1" x14ac:dyDescent="0.2"/>
    <row r="63" s="37" customFormat="1" ht="16" customHeight="1" x14ac:dyDescent="0.2"/>
    <row r="64" s="37" customFormat="1" ht="16" customHeight="1" x14ac:dyDescent="0.2"/>
    <row r="65" s="37" customFormat="1" ht="16" customHeight="1" x14ac:dyDescent="0.2"/>
    <row r="66" s="37" customFormat="1" ht="16" customHeight="1" x14ac:dyDescent="0.2"/>
    <row r="67" s="37" customFormat="1" ht="16" customHeight="1" x14ac:dyDescent="0.2"/>
    <row r="68" s="37" customFormat="1" ht="16" customHeight="1" x14ac:dyDescent="0.2"/>
    <row r="69" s="37" customFormat="1" ht="16" customHeight="1" x14ac:dyDescent="0.2"/>
    <row r="70" s="37" customFormat="1" ht="16" customHeight="1" x14ac:dyDescent="0.2"/>
    <row r="71" s="37" customFormat="1" ht="16" customHeight="1" x14ac:dyDescent="0.2"/>
    <row r="72" s="37" customFormat="1" ht="16" customHeight="1" x14ac:dyDescent="0.2"/>
    <row r="73" s="37" customFormat="1" ht="16" customHeight="1" x14ac:dyDescent="0.2"/>
    <row r="74" s="37" customFormat="1" ht="16" customHeight="1" x14ac:dyDescent="0.2"/>
    <row r="75" s="37" customFormat="1" ht="16" customHeight="1" x14ac:dyDescent="0.2"/>
    <row r="76" s="37" customFormat="1" ht="16" customHeight="1" x14ac:dyDescent="0.2"/>
    <row r="77" s="37" customFormat="1" ht="16" customHeight="1" x14ac:dyDescent="0.2"/>
    <row r="78" s="37" customFormat="1" ht="16" customHeight="1" x14ac:dyDescent="0.2"/>
    <row r="79" s="37" customFormat="1" ht="16" customHeight="1" x14ac:dyDescent="0.2"/>
    <row r="80" s="37" customFormat="1" ht="16" customHeight="1" x14ac:dyDescent="0.2"/>
    <row r="81" s="37" customFormat="1" ht="16" customHeight="1" x14ac:dyDescent="0.2"/>
    <row r="82" s="37" customFormat="1" ht="16" customHeight="1" x14ac:dyDescent="0.2"/>
    <row r="83" s="37" customFormat="1" ht="16" customHeight="1" x14ac:dyDescent="0.2"/>
    <row r="84" s="37" customFormat="1" ht="16" customHeight="1" x14ac:dyDescent="0.2"/>
    <row r="85" s="37" customFormat="1" ht="16" customHeight="1" x14ac:dyDescent="0.2"/>
    <row r="86" s="37" customFormat="1" ht="16" customHeight="1" x14ac:dyDescent="0.2"/>
    <row r="87" s="37" customFormat="1" ht="16" customHeight="1" x14ac:dyDescent="0.2"/>
    <row r="88" s="37" customFormat="1" ht="16" customHeight="1" x14ac:dyDescent="0.2"/>
    <row r="89" s="37" customFormat="1" ht="16" customHeight="1" x14ac:dyDescent="0.2"/>
    <row r="90" s="37" customFormat="1" ht="16" customHeight="1" x14ac:dyDescent="0.2"/>
    <row r="91" s="37" customFormat="1" ht="16" customHeight="1" x14ac:dyDescent="0.2"/>
    <row r="92" s="37" customFormat="1" ht="16" customHeight="1" x14ac:dyDescent="0.2"/>
    <row r="93" s="37" customFormat="1" ht="16" customHeight="1" x14ac:dyDescent="0.2"/>
    <row r="94" s="37" customFormat="1" ht="16" customHeight="1" x14ac:dyDescent="0.2"/>
    <row r="95" s="37" customFormat="1" ht="16" customHeight="1" x14ac:dyDescent="0.2"/>
    <row r="96" s="37" customFormat="1" ht="16" customHeight="1" x14ac:dyDescent="0.2"/>
    <row r="97" s="37" customFormat="1" ht="16" customHeight="1" x14ac:dyDescent="0.2"/>
    <row r="98" s="37" customFormat="1" ht="16" customHeight="1" x14ac:dyDescent="0.2"/>
    <row r="99" s="37" customFormat="1" ht="16" customHeight="1" x14ac:dyDescent="0.2"/>
    <row r="100" s="37" customFormat="1" ht="16" customHeight="1" x14ac:dyDescent="0.2"/>
    <row r="101" s="37" customFormat="1" ht="16" customHeight="1" x14ac:dyDescent="0.2"/>
    <row r="102" s="37" customFormat="1" ht="16" customHeight="1" x14ac:dyDescent="0.2"/>
    <row r="103" s="37" customFormat="1" ht="16" customHeight="1" x14ac:dyDescent="0.2"/>
    <row r="104" s="37" customFormat="1" ht="16" customHeight="1" x14ac:dyDescent="0.2"/>
    <row r="105" s="37" customFormat="1" ht="16" customHeight="1" x14ac:dyDescent="0.2"/>
    <row r="106" s="37" customFormat="1" ht="16" customHeight="1" x14ac:dyDescent="0.2"/>
    <row r="107" s="37" customFormat="1" ht="16" customHeight="1" x14ac:dyDescent="0.2"/>
    <row r="108" s="37" customFormat="1" ht="16" customHeight="1" x14ac:dyDescent="0.2"/>
    <row r="109" s="37" customFormat="1" ht="16" customHeight="1" x14ac:dyDescent="0.2"/>
    <row r="110" s="37" customFormat="1" ht="16" customHeight="1" x14ac:dyDescent="0.2"/>
    <row r="111" s="37" customFormat="1" ht="16" customHeight="1" x14ac:dyDescent="0.2"/>
    <row r="112" s="37" customFormat="1" ht="16" customHeight="1" x14ac:dyDescent="0.2"/>
    <row r="113" s="37" customFormat="1" ht="16" customHeight="1" x14ac:dyDescent="0.2"/>
    <row r="114" s="37" customFormat="1" ht="16" customHeight="1" x14ac:dyDescent="0.2"/>
    <row r="115" s="37" customFormat="1" ht="16" customHeight="1" x14ac:dyDescent="0.2"/>
    <row r="116" s="37" customFormat="1" ht="16" customHeight="1" x14ac:dyDescent="0.2"/>
    <row r="117" s="37" customFormat="1" ht="16" customHeight="1" x14ac:dyDescent="0.2"/>
    <row r="118" s="37" customFormat="1" ht="16" customHeight="1" x14ac:dyDescent="0.2"/>
    <row r="119" s="37" customFormat="1" ht="16" customHeight="1" x14ac:dyDescent="0.2"/>
    <row r="120" s="37" customFormat="1" ht="16" customHeight="1" x14ac:dyDescent="0.2"/>
    <row r="121" s="37" customFormat="1" ht="16" customHeight="1" x14ac:dyDescent="0.2"/>
    <row r="122" s="37" customFormat="1" ht="16" customHeight="1" x14ac:dyDescent="0.2"/>
    <row r="123" s="37" customFormat="1" ht="16" customHeight="1" x14ac:dyDescent="0.2"/>
    <row r="124" s="37" customFormat="1" ht="16" customHeight="1" x14ac:dyDescent="0.2"/>
    <row r="125" s="37" customFormat="1" ht="16" customHeight="1" x14ac:dyDescent="0.2"/>
    <row r="126" s="37" customFormat="1" ht="16" customHeight="1" x14ac:dyDescent="0.2"/>
    <row r="127" s="37" customFormat="1" ht="16" customHeight="1" x14ac:dyDescent="0.2"/>
    <row r="128" s="37" customFormat="1" ht="16" customHeight="1" x14ac:dyDescent="0.2"/>
    <row r="129" s="37" customFormat="1" ht="16" customHeight="1" x14ac:dyDescent="0.2"/>
    <row r="130" s="37" customFormat="1" ht="16" customHeight="1" x14ac:dyDescent="0.2"/>
    <row r="131" s="37" customFormat="1" ht="16" customHeight="1" x14ac:dyDescent="0.2"/>
    <row r="132" s="37" customFormat="1" ht="16" customHeight="1" x14ac:dyDescent="0.2"/>
    <row r="133" s="37" customFormat="1" ht="16" customHeight="1" x14ac:dyDescent="0.2"/>
    <row r="134" s="37" customFormat="1" ht="16" customHeight="1" x14ac:dyDescent="0.2"/>
    <row r="135" s="37" customFormat="1" ht="16" customHeight="1" x14ac:dyDescent="0.2"/>
    <row r="136" s="37" customFormat="1" ht="16" customHeight="1" x14ac:dyDescent="0.2"/>
    <row r="137" s="37" customFormat="1" ht="16" customHeight="1" x14ac:dyDescent="0.2"/>
    <row r="138" s="37" customFormat="1" ht="16" customHeight="1" x14ac:dyDescent="0.2"/>
    <row r="139" s="37" customFormat="1" ht="16" customHeight="1" x14ac:dyDescent="0.2"/>
    <row r="140" s="37" customFormat="1" ht="16" customHeight="1" x14ac:dyDescent="0.2"/>
    <row r="141" s="37" customFormat="1" ht="16" customHeight="1" x14ac:dyDescent="0.2"/>
    <row r="142" s="37" customFormat="1" ht="16" customHeight="1" x14ac:dyDescent="0.2"/>
    <row r="143" s="37" customFormat="1" ht="16" customHeight="1" x14ac:dyDescent="0.2"/>
    <row r="144" s="37" customFormat="1" ht="16" customHeight="1" x14ac:dyDescent="0.2"/>
    <row r="145" s="37" customFormat="1" ht="16" customHeight="1" x14ac:dyDescent="0.2"/>
    <row r="146" s="37" customFormat="1" ht="16" customHeight="1" x14ac:dyDescent="0.2"/>
    <row r="147" s="37" customFormat="1" ht="16" customHeight="1" x14ac:dyDescent="0.2"/>
    <row r="148" s="37" customFormat="1" ht="16" customHeight="1" x14ac:dyDescent="0.2"/>
    <row r="149" s="37" customFormat="1" ht="16" customHeight="1" x14ac:dyDescent="0.2"/>
    <row r="150" s="37" customFormat="1" ht="16" customHeight="1" x14ac:dyDescent="0.2"/>
    <row r="151" s="37" customFormat="1" ht="16" customHeight="1" x14ac:dyDescent="0.2"/>
    <row r="152" s="37" customFormat="1" ht="16" customHeight="1" x14ac:dyDescent="0.2"/>
    <row r="153" s="37" customFormat="1" ht="16" customHeight="1" x14ac:dyDescent="0.2"/>
    <row r="154" s="37" customFormat="1" ht="16" customHeight="1" x14ac:dyDescent="0.2"/>
    <row r="155" s="37" customFormat="1" ht="16" customHeight="1" x14ac:dyDescent="0.2"/>
    <row r="156" s="37" customFormat="1" ht="16" customHeight="1" x14ac:dyDescent="0.2"/>
    <row r="157" s="37" customFormat="1" ht="16" customHeight="1" x14ac:dyDescent="0.2"/>
    <row r="158" s="37" customFormat="1" ht="16" customHeight="1" x14ac:dyDescent="0.2"/>
    <row r="159" s="37" customFormat="1" ht="16" customHeight="1" x14ac:dyDescent="0.2"/>
    <row r="160" s="37" customFormat="1" ht="16" customHeight="1" x14ac:dyDescent="0.2"/>
    <row r="161" s="37" customFormat="1" ht="16" customHeight="1" x14ac:dyDescent="0.2"/>
    <row r="162" s="37" customFormat="1" ht="16" customHeight="1" x14ac:dyDescent="0.2"/>
    <row r="163" s="37" customFormat="1" ht="16" customHeight="1" x14ac:dyDescent="0.2"/>
    <row r="164" s="37" customFormat="1" ht="16" customHeight="1" x14ac:dyDescent="0.2"/>
    <row r="165" s="37" customFormat="1" ht="16" customHeight="1" x14ac:dyDescent="0.2"/>
    <row r="166" s="37" customFormat="1" ht="16" customHeight="1" x14ac:dyDescent="0.2"/>
    <row r="167" s="37" customFormat="1" ht="16" customHeight="1" x14ac:dyDescent="0.2"/>
    <row r="168" s="37" customFormat="1" ht="16" customHeight="1" x14ac:dyDescent="0.2"/>
    <row r="169" s="37" customFormat="1" ht="16" customHeight="1" x14ac:dyDescent="0.2"/>
    <row r="170" s="37" customFormat="1" ht="16" customHeight="1" x14ac:dyDescent="0.2"/>
    <row r="171" s="37" customFormat="1" ht="16" customHeight="1" x14ac:dyDescent="0.2"/>
    <row r="172" s="37" customFormat="1" ht="16" customHeight="1" x14ac:dyDescent="0.2"/>
    <row r="173" s="37" customFormat="1" ht="16" customHeight="1" x14ac:dyDescent="0.2"/>
    <row r="174" s="37" customFormat="1" ht="16" customHeight="1" x14ac:dyDescent="0.2"/>
    <row r="175" s="37" customFormat="1" ht="16" customHeight="1" x14ac:dyDescent="0.2"/>
    <row r="176" s="37" customFormat="1" ht="16" customHeight="1" x14ac:dyDescent="0.2"/>
    <row r="177" s="37" customFormat="1" ht="16" customHeight="1" x14ac:dyDescent="0.2"/>
    <row r="178" s="37" customFormat="1" ht="16" customHeight="1" x14ac:dyDescent="0.2"/>
    <row r="179" s="37" customFormat="1" ht="16" customHeight="1" x14ac:dyDescent="0.2"/>
    <row r="180" s="37" customFormat="1" ht="16" customHeight="1" x14ac:dyDescent="0.2"/>
    <row r="181" s="37" customFormat="1" ht="16" customHeight="1" x14ac:dyDescent="0.2"/>
    <row r="182" s="37" customFormat="1" ht="16" customHeight="1" x14ac:dyDescent="0.2"/>
    <row r="183" s="37" customFormat="1" ht="16" customHeight="1" x14ac:dyDescent="0.2"/>
    <row r="184" s="37" customFormat="1" ht="16" customHeight="1" x14ac:dyDescent="0.2"/>
    <row r="185" s="37" customFormat="1" ht="16" customHeight="1" x14ac:dyDescent="0.2"/>
    <row r="186" s="37" customFormat="1" ht="16" customHeight="1" x14ac:dyDescent="0.2"/>
    <row r="187" s="37" customFormat="1" ht="16" customHeight="1" x14ac:dyDescent="0.2"/>
    <row r="188" s="37" customFormat="1" ht="16" customHeight="1" x14ac:dyDescent="0.2"/>
    <row r="189" s="37" customFormat="1" ht="16" customHeight="1" x14ac:dyDescent="0.2"/>
    <row r="190" s="37" customFormat="1" ht="16" customHeight="1" x14ac:dyDescent="0.2"/>
    <row r="191" s="37" customFormat="1" ht="16" customHeight="1" x14ac:dyDescent="0.2"/>
    <row r="192" s="37" customFormat="1" ht="16" customHeight="1" x14ac:dyDescent="0.2"/>
    <row r="193" s="37" customFormat="1" ht="16" customHeight="1" x14ac:dyDescent="0.2"/>
    <row r="194" s="37" customFormat="1" ht="16" customHeight="1" x14ac:dyDescent="0.2"/>
    <row r="195" s="37" customFormat="1" ht="16" customHeight="1" x14ac:dyDescent="0.2"/>
    <row r="196" s="37" customFormat="1" ht="16" customHeight="1" x14ac:dyDescent="0.2"/>
    <row r="197" s="37" customFormat="1" ht="16" customHeight="1" x14ac:dyDescent="0.2"/>
    <row r="198" s="37" customFormat="1" ht="16" customHeight="1" x14ac:dyDescent="0.2"/>
    <row r="199" s="37" customFormat="1" ht="16" customHeight="1" x14ac:dyDescent="0.2"/>
    <row r="200" s="37" customFormat="1" ht="16" customHeight="1" x14ac:dyDescent="0.2"/>
  </sheetData>
  <mergeCells count="15">
    <mergeCell ref="A3:J3"/>
    <mergeCell ref="A4:J4"/>
    <mergeCell ref="A5:D5"/>
    <mergeCell ref="A7:B9"/>
    <mergeCell ref="C7:C10"/>
    <mergeCell ref="D7:H7"/>
    <mergeCell ref="I7:J8"/>
    <mergeCell ref="D8:D9"/>
    <mergeCell ref="E8:E9"/>
    <mergeCell ref="F8:F9"/>
    <mergeCell ref="G8:G9"/>
    <mergeCell ref="H8:H9"/>
    <mergeCell ref="A11:B11"/>
    <mergeCell ref="A40:J40"/>
    <mergeCell ref="A41:J41"/>
  </mergeCells>
  <printOptions horizontalCentered="1"/>
  <pageMargins left="0.7" right="0.7" top="0.75" bottom="0.75" header="0.3" footer="0.3"/>
  <pageSetup paperSize="9" scale="67"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06CCD-762C-4E04-B85A-3B72FBCCD1F3}">
  <sheetPr codeName="Tabelle29">
    <pageSetUpPr fitToPage="1"/>
  </sheetPr>
  <dimension ref="A1:O197"/>
  <sheetViews>
    <sheetView showGridLines="0" zoomScaleNormal="100" workbookViewId="0"/>
  </sheetViews>
  <sheetFormatPr defaultColWidth="8.81640625" defaultRowHeight="16" customHeight="1" x14ac:dyDescent="0.2"/>
  <cols>
    <col min="1" max="1" width="6.7265625" style="37" customWidth="1"/>
    <col min="2" max="2" width="29.7265625" style="37" customWidth="1"/>
    <col min="3" max="3" width="6.7265625" style="37" customWidth="1"/>
    <col min="4" max="4" width="9.7265625" style="61" customWidth="1"/>
    <col min="5" max="10" width="9.7265625" style="90" customWidth="1"/>
    <col min="11" max="11" width="9.7265625" style="91" customWidth="1"/>
    <col min="12" max="12" width="2.1796875" style="37" customWidth="1"/>
    <col min="13" max="16384" width="8.81640625" style="37"/>
  </cols>
  <sheetData>
    <row r="1" spans="1:15" customFormat="1" ht="36.75" customHeight="1" x14ac:dyDescent="0.25">
      <c r="A1" s="30"/>
      <c r="B1" s="31"/>
      <c r="C1" s="31"/>
      <c r="D1" s="31"/>
      <c r="E1" s="31"/>
      <c r="F1" s="31"/>
      <c r="G1" s="31"/>
      <c r="H1" s="31"/>
      <c r="I1" s="31"/>
      <c r="J1" s="31"/>
      <c r="K1" s="32" t="s">
        <v>40</v>
      </c>
    </row>
    <row r="2" spans="1:15" customFormat="1" ht="6.25" customHeight="1" x14ac:dyDescent="0.25">
      <c r="A2" s="33"/>
      <c r="B2" s="34"/>
      <c r="C2" s="34"/>
      <c r="D2" s="34"/>
      <c r="E2" s="34"/>
      <c r="F2" s="34"/>
      <c r="G2" s="34"/>
      <c r="H2" s="34"/>
      <c r="I2" s="34"/>
      <c r="J2" s="34"/>
      <c r="K2" s="34"/>
    </row>
    <row r="3" spans="1:15" s="35" customFormat="1" ht="25" customHeight="1" x14ac:dyDescent="0.35">
      <c r="A3" s="444" t="s">
        <v>363</v>
      </c>
      <c r="B3" s="445"/>
      <c r="C3" s="445"/>
      <c r="D3" s="445"/>
      <c r="E3" s="445"/>
      <c r="F3" s="445"/>
      <c r="G3" s="445"/>
      <c r="H3" s="445"/>
      <c r="I3" s="445"/>
      <c r="J3" s="445"/>
      <c r="K3" s="445"/>
    </row>
    <row r="4" spans="1:15" s="35" customFormat="1" ht="12" customHeight="1" x14ac:dyDescent="0.35">
      <c r="A4" s="446" t="s">
        <v>86</v>
      </c>
      <c r="B4" s="446"/>
      <c r="C4" s="446"/>
      <c r="D4" s="446"/>
      <c r="E4" s="446"/>
      <c r="F4" s="446"/>
      <c r="G4" s="446"/>
      <c r="H4" s="446"/>
      <c r="I4" s="446"/>
      <c r="J4" s="446"/>
      <c r="K4" s="446"/>
    </row>
    <row r="5" spans="1:15" s="35" customFormat="1" ht="12" customHeight="1" x14ac:dyDescent="0.35">
      <c r="A5" s="447" t="s">
        <v>336</v>
      </c>
      <c r="B5" s="447"/>
      <c r="C5" s="447"/>
      <c r="D5" s="447"/>
      <c r="E5" s="447"/>
      <c r="F5" s="165"/>
      <c r="G5" s="165"/>
      <c r="H5" s="165"/>
      <c r="I5" s="165"/>
      <c r="J5" s="165"/>
      <c r="K5" s="165"/>
    </row>
    <row r="6" spans="1:15" s="35" customFormat="1" ht="11.25" customHeight="1" x14ac:dyDescent="0.35">
      <c r="A6" s="145"/>
      <c r="B6" s="146"/>
      <c r="C6" s="146"/>
      <c r="D6" s="146"/>
      <c r="E6" s="146"/>
      <c r="F6" s="146"/>
      <c r="G6" s="146"/>
      <c r="H6" s="146"/>
      <c r="I6" s="146"/>
      <c r="J6" s="146"/>
    </row>
    <row r="7" spans="1:15" customFormat="1" ht="25" customHeight="1" x14ac:dyDescent="0.25">
      <c r="A7" s="462" t="s">
        <v>334</v>
      </c>
      <c r="B7" s="451"/>
      <c r="C7" s="451"/>
      <c r="D7" s="456" t="s">
        <v>88</v>
      </c>
      <c r="E7" s="520" t="s">
        <v>364</v>
      </c>
      <c r="F7" s="460"/>
      <c r="G7" s="460"/>
      <c r="H7" s="460"/>
      <c r="I7" s="461"/>
      <c r="J7" s="516" t="s">
        <v>360</v>
      </c>
      <c r="K7" s="517"/>
      <c r="L7" s="37"/>
      <c r="M7" s="37"/>
      <c r="N7" s="37"/>
      <c r="O7" s="37"/>
    </row>
    <row r="8" spans="1:15" ht="21.75" customHeight="1" x14ac:dyDescent="0.2">
      <c r="A8" s="452"/>
      <c r="B8" s="453"/>
      <c r="C8" s="453"/>
      <c r="D8" s="457"/>
      <c r="E8" s="438" t="s">
        <v>336</v>
      </c>
      <c r="F8" s="438" t="s">
        <v>338</v>
      </c>
      <c r="G8" s="438" t="s">
        <v>339</v>
      </c>
      <c r="H8" s="438" t="s">
        <v>340</v>
      </c>
      <c r="I8" s="438" t="s">
        <v>341</v>
      </c>
      <c r="J8" s="518"/>
      <c r="K8" s="519"/>
    </row>
    <row r="9" spans="1:15" ht="12" customHeight="1" x14ac:dyDescent="0.2">
      <c r="A9" s="452"/>
      <c r="B9" s="453"/>
      <c r="C9" s="453"/>
      <c r="D9" s="457"/>
      <c r="E9" s="439"/>
      <c r="F9" s="439"/>
      <c r="G9" s="439"/>
      <c r="H9" s="439"/>
      <c r="I9" s="439"/>
      <c r="J9" s="38" t="s">
        <v>96</v>
      </c>
      <c r="K9" s="39" t="s">
        <v>97</v>
      </c>
    </row>
    <row r="10" spans="1:15" ht="12" customHeight="1" x14ac:dyDescent="0.2">
      <c r="A10" s="454"/>
      <c r="B10" s="455"/>
      <c r="C10" s="455"/>
      <c r="D10" s="458"/>
      <c r="E10" s="40">
        <v>1</v>
      </c>
      <c r="F10" s="40">
        <v>2</v>
      </c>
      <c r="G10" s="40">
        <v>3</v>
      </c>
      <c r="H10" s="40">
        <v>4</v>
      </c>
      <c r="I10" s="40">
        <v>5</v>
      </c>
      <c r="J10" s="40">
        <v>6</v>
      </c>
      <c r="K10" s="40">
        <v>7</v>
      </c>
    </row>
    <row r="11" spans="1:15" ht="18" customHeight="1" x14ac:dyDescent="0.2">
      <c r="A11" s="190" t="s">
        <v>98</v>
      </c>
      <c r="B11" s="191"/>
      <c r="C11" s="192"/>
      <c r="D11" s="193">
        <v>100</v>
      </c>
      <c r="E11" s="197">
        <v>4822</v>
      </c>
      <c r="F11" s="240">
        <v>5180</v>
      </c>
      <c r="G11" s="240">
        <v>3451</v>
      </c>
      <c r="H11" s="240">
        <v>6212</v>
      </c>
      <c r="I11" s="196">
        <v>4313</v>
      </c>
      <c r="J11" s="197">
        <v>509</v>
      </c>
      <c r="K11" s="198">
        <v>11.801530257361465</v>
      </c>
    </row>
    <row r="12" spans="1:15" ht="18" customHeight="1" x14ac:dyDescent="0.2">
      <c r="A12" s="199" t="s">
        <v>224</v>
      </c>
      <c r="B12" s="200"/>
      <c r="C12" s="200"/>
      <c r="D12" s="201"/>
      <c r="E12" s="214"/>
      <c r="F12" s="214"/>
      <c r="G12" s="214"/>
      <c r="H12" s="214"/>
      <c r="I12" s="214"/>
      <c r="J12" s="201"/>
      <c r="K12" s="202"/>
    </row>
    <row r="13" spans="1:15" ht="16" customHeight="1" x14ac:dyDescent="0.2">
      <c r="A13" s="203" t="s">
        <v>225</v>
      </c>
      <c r="B13" s="204"/>
      <c r="C13" s="205"/>
      <c r="D13" s="206">
        <v>29.220240564081294</v>
      </c>
      <c r="E13" s="207">
        <v>1409</v>
      </c>
      <c r="F13" s="208">
        <v>1392</v>
      </c>
      <c r="G13" s="208">
        <v>993</v>
      </c>
      <c r="H13" s="208">
        <v>1529</v>
      </c>
      <c r="I13" s="209">
        <v>1255</v>
      </c>
      <c r="J13" s="207">
        <v>154</v>
      </c>
      <c r="K13" s="210">
        <v>12.270916334661354</v>
      </c>
    </row>
    <row r="14" spans="1:15" ht="16" customHeight="1" x14ac:dyDescent="0.2">
      <c r="A14" s="203" t="s">
        <v>226</v>
      </c>
      <c r="B14" s="204"/>
      <c r="C14" s="205"/>
      <c r="D14" s="206">
        <v>55.827457486520117</v>
      </c>
      <c r="E14" s="207">
        <v>2692</v>
      </c>
      <c r="F14" s="208">
        <v>2809</v>
      </c>
      <c r="G14" s="208">
        <v>1781</v>
      </c>
      <c r="H14" s="208">
        <v>3679</v>
      </c>
      <c r="I14" s="209">
        <v>2393</v>
      </c>
      <c r="J14" s="207">
        <v>299</v>
      </c>
      <c r="K14" s="210">
        <v>12.494776431257835</v>
      </c>
    </row>
    <row r="15" spans="1:15" ht="16" customHeight="1" x14ac:dyDescent="0.2">
      <c r="A15" s="203" t="s">
        <v>227</v>
      </c>
      <c r="B15" s="204"/>
      <c r="C15" s="205"/>
      <c r="D15" s="206">
        <v>7.6109498133554538</v>
      </c>
      <c r="E15" s="207">
        <v>367</v>
      </c>
      <c r="F15" s="208">
        <v>489</v>
      </c>
      <c r="G15" s="208">
        <v>290</v>
      </c>
      <c r="H15" s="208">
        <v>467</v>
      </c>
      <c r="I15" s="209">
        <v>326</v>
      </c>
      <c r="J15" s="207">
        <v>41</v>
      </c>
      <c r="K15" s="210">
        <v>12.576687116564417</v>
      </c>
    </row>
    <row r="16" spans="1:15" ht="16" customHeight="1" x14ac:dyDescent="0.2">
      <c r="A16" s="203" t="s">
        <v>228</v>
      </c>
      <c r="B16" s="204"/>
      <c r="C16" s="205"/>
      <c r="D16" s="206">
        <v>7.0924927416009957</v>
      </c>
      <c r="E16" s="207">
        <v>342</v>
      </c>
      <c r="F16" s="208">
        <v>483</v>
      </c>
      <c r="G16" s="208">
        <v>373</v>
      </c>
      <c r="H16" s="208">
        <v>482</v>
      </c>
      <c r="I16" s="209">
        <v>328</v>
      </c>
      <c r="J16" s="207">
        <v>14</v>
      </c>
      <c r="K16" s="210">
        <v>4.2682926829268295</v>
      </c>
    </row>
    <row r="17" spans="1:11" ht="18" customHeight="1" x14ac:dyDescent="0.2">
      <c r="A17" s="199" t="s">
        <v>235</v>
      </c>
      <c r="B17" s="200"/>
      <c r="C17" s="200"/>
      <c r="D17" s="201"/>
      <c r="E17" s="214"/>
      <c r="F17" s="214"/>
      <c r="G17" s="214"/>
      <c r="H17" s="214"/>
      <c r="I17" s="214"/>
      <c r="J17" s="201"/>
      <c r="K17" s="202"/>
    </row>
    <row r="18" spans="1:11" ht="13.5" customHeight="1" x14ac:dyDescent="0.2">
      <c r="A18" s="203">
        <v>11</v>
      </c>
      <c r="B18" s="204" t="s">
        <v>236</v>
      </c>
      <c r="C18" s="205"/>
      <c r="D18" s="206">
        <v>1.6175860638739112</v>
      </c>
      <c r="E18" s="430">
        <v>78</v>
      </c>
      <c r="F18" s="208">
        <v>107</v>
      </c>
      <c r="G18" s="431">
        <v>72</v>
      </c>
      <c r="H18" s="208">
        <v>151</v>
      </c>
      <c r="I18" s="209">
        <v>105</v>
      </c>
      <c r="J18" s="207">
        <v>-27</v>
      </c>
      <c r="K18" s="210">
        <v>-25.714285714285715</v>
      </c>
    </row>
    <row r="19" spans="1:11" ht="13.5" customHeight="1" x14ac:dyDescent="0.2">
      <c r="A19" s="203" t="s">
        <v>237</v>
      </c>
      <c r="B19" s="204" t="s">
        <v>238</v>
      </c>
      <c r="C19" s="205"/>
      <c r="D19" s="206">
        <v>1.1406055578598091</v>
      </c>
      <c r="E19" s="430">
        <v>55</v>
      </c>
      <c r="F19" s="431">
        <v>62</v>
      </c>
      <c r="G19" s="431">
        <v>41</v>
      </c>
      <c r="H19" s="431">
        <v>88</v>
      </c>
      <c r="I19" s="432">
        <v>58</v>
      </c>
      <c r="J19" s="207">
        <v>-3</v>
      </c>
      <c r="K19" s="210">
        <v>-5.1724137931034484</v>
      </c>
    </row>
    <row r="20" spans="1:11" ht="13.5" customHeight="1" x14ac:dyDescent="0.2">
      <c r="A20" s="203">
        <v>12</v>
      </c>
      <c r="B20" s="204" t="s">
        <v>239</v>
      </c>
      <c r="C20" s="205"/>
      <c r="D20" s="206">
        <v>1.5968477810037329</v>
      </c>
      <c r="E20" s="430">
        <v>77</v>
      </c>
      <c r="F20" s="431">
        <v>75</v>
      </c>
      <c r="G20" s="431">
        <v>19</v>
      </c>
      <c r="H20" s="431">
        <v>40</v>
      </c>
      <c r="I20" s="432">
        <v>74</v>
      </c>
      <c r="J20" s="207">
        <v>3</v>
      </c>
      <c r="K20" s="210">
        <v>4.0540540540540544</v>
      </c>
    </row>
    <row r="21" spans="1:11" ht="13.5" customHeight="1" x14ac:dyDescent="0.2">
      <c r="A21" s="203">
        <v>21</v>
      </c>
      <c r="B21" s="204" t="s">
        <v>240</v>
      </c>
      <c r="C21" s="205"/>
      <c r="D21" s="206">
        <v>0.91248444628784742</v>
      </c>
      <c r="E21" s="430">
        <v>44</v>
      </c>
      <c r="F21" s="431">
        <v>49</v>
      </c>
      <c r="G21" s="431">
        <v>33</v>
      </c>
      <c r="H21" s="431">
        <v>70</v>
      </c>
      <c r="I21" s="432">
        <v>77</v>
      </c>
      <c r="J21" s="207">
        <v>-33</v>
      </c>
      <c r="K21" s="210">
        <v>-42.857142857142854</v>
      </c>
    </row>
    <row r="22" spans="1:11" ht="13.5" customHeight="1" x14ac:dyDescent="0.2">
      <c r="A22" s="203">
        <v>22</v>
      </c>
      <c r="B22" s="204" t="s">
        <v>241</v>
      </c>
      <c r="C22" s="205"/>
      <c r="D22" s="206">
        <v>2.1982579842389049</v>
      </c>
      <c r="E22" s="207">
        <v>106</v>
      </c>
      <c r="F22" s="208">
        <v>111</v>
      </c>
      <c r="G22" s="431">
        <v>59</v>
      </c>
      <c r="H22" s="208">
        <v>141</v>
      </c>
      <c r="I22" s="209">
        <v>101</v>
      </c>
      <c r="J22" s="207">
        <v>5</v>
      </c>
      <c r="K22" s="210">
        <v>4.9504950495049505</v>
      </c>
    </row>
    <row r="23" spans="1:11" ht="13.5" customHeight="1" x14ac:dyDescent="0.2">
      <c r="A23" s="203">
        <v>23</v>
      </c>
      <c r="B23" s="204" t="s">
        <v>242</v>
      </c>
      <c r="C23" s="205"/>
      <c r="D23" s="206">
        <v>0.22812111157196185</v>
      </c>
      <c r="E23" s="430">
        <v>11</v>
      </c>
      <c r="F23" s="431">
        <v>13</v>
      </c>
      <c r="G23" s="431">
        <v>5</v>
      </c>
      <c r="H23" s="431">
        <v>24</v>
      </c>
      <c r="I23" s="432">
        <v>21</v>
      </c>
      <c r="J23" s="207">
        <v>-10</v>
      </c>
      <c r="K23" s="210">
        <v>-47.61904761904762</v>
      </c>
    </row>
    <row r="24" spans="1:11" ht="13.5" customHeight="1" x14ac:dyDescent="0.2">
      <c r="A24" s="203">
        <v>24</v>
      </c>
      <c r="B24" s="204" t="s">
        <v>243</v>
      </c>
      <c r="C24" s="205"/>
      <c r="D24" s="206">
        <v>3.9610120282040646</v>
      </c>
      <c r="E24" s="207">
        <v>191</v>
      </c>
      <c r="F24" s="208">
        <v>226</v>
      </c>
      <c r="G24" s="431">
        <v>96</v>
      </c>
      <c r="H24" s="208">
        <v>258</v>
      </c>
      <c r="I24" s="209">
        <v>127</v>
      </c>
      <c r="J24" s="207">
        <v>64</v>
      </c>
      <c r="K24" s="210">
        <v>50.393700787401578</v>
      </c>
    </row>
    <row r="25" spans="1:11" ht="13.5" customHeight="1" x14ac:dyDescent="0.2">
      <c r="A25" s="203">
        <v>25</v>
      </c>
      <c r="B25" s="204" t="s">
        <v>244</v>
      </c>
      <c r="C25" s="205"/>
      <c r="D25" s="206">
        <v>5.3712152633761923</v>
      </c>
      <c r="E25" s="207">
        <v>259</v>
      </c>
      <c r="F25" s="208">
        <v>239</v>
      </c>
      <c r="G25" s="208">
        <v>189</v>
      </c>
      <c r="H25" s="208">
        <v>302</v>
      </c>
      <c r="I25" s="209">
        <v>126</v>
      </c>
      <c r="J25" s="207">
        <v>133</v>
      </c>
      <c r="K25" s="210">
        <v>105.55555555555556</v>
      </c>
    </row>
    <row r="26" spans="1:11" ht="13.5" customHeight="1" x14ac:dyDescent="0.2">
      <c r="A26" s="203">
        <v>26</v>
      </c>
      <c r="B26" s="204" t="s">
        <v>245</v>
      </c>
      <c r="C26" s="205"/>
      <c r="D26" s="206">
        <v>2.0323517212774784</v>
      </c>
      <c r="E26" s="430">
        <v>98</v>
      </c>
      <c r="F26" s="208">
        <v>130</v>
      </c>
      <c r="G26" s="431">
        <v>67</v>
      </c>
      <c r="H26" s="208">
        <v>151</v>
      </c>
      <c r="I26" s="432">
        <v>81</v>
      </c>
      <c r="J26" s="207">
        <v>17</v>
      </c>
      <c r="K26" s="210">
        <v>20.987654320987655</v>
      </c>
    </row>
    <row r="27" spans="1:11" ht="13.5" customHeight="1" x14ac:dyDescent="0.2">
      <c r="A27" s="203">
        <v>27</v>
      </c>
      <c r="B27" s="204" t="s">
        <v>246</v>
      </c>
      <c r="C27" s="205"/>
      <c r="D27" s="206">
        <v>1.4102032351721276</v>
      </c>
      <c r="E27" s="430">
        <v>68</v>
      </c>
      <c r="F27" s="208">
        <v>102</v>
      </c>
      <c r="G27" s="431">
        <v>47</v>
      </c>
      <c r="H27" s="431">
        <v>60</v>
      </c>
      <c r="I27" s="432">
        <v>45</v>
      </c>
      <c r="J27" s="207">
        <v>23</v>
      </c>
      <c r="K27" s="210">
        <v>51.111111111111114</v>
      </c>
    </row>
    <row r="28" spans="1:11" ht="13.5" customHeight="1" x14ac:dyDescent="0.2">
      <c r="A28" s="203">
        <v>28</v>
      </c>
      <c r="B28" s="204" t="s">
        <v>247</v>
      </c>
      <c r="C28" s="205"/>
      <c r="D28" s="206">
        <v>2.903359601824969</v>
      </c>
      <c r="E28" s="207">
        <v>140</v>
      </c>
      <c r="F28" s="431">
        <v>65</v>
      </c>
      <c r="G28" s="431">
        <v>65</v>
      </c>
      <c r="H28" s="431">
        <v>94</v>
      </c>
      <c r="I28" s="432">
        <v>96</v>
      </c>
      <c r="J28" s="207">
        <v>44</v>
      </c>
      <c r="K28" s="210">
        <v>45.833333333333336</v>
      </c>
    </row>
    <row r="29" spans="1:11" ht="13.5" customHeight="1" x14ac:dyDescent="0.2">
      <c r="A29" s="203">
        <v>29</v>
      </c>
      <c r="B29" s="204" t="s">
        <v>248</v>
      </c>
      <c r="C29" s="205"/>
      <c r="D29" s="206">
        <v>7.0717544587308172</v>
      </c>
      <c r="E29" s="207">
        <v>341</v>
      </c>
      <c r="F29" s="208">
        <v>455</v>
      </c>
      <c r="G29" s="208">
        <v>153</v>
      </c>
      <c r="H29" s="208">
        <v>269</v>
      </c>
      <c r="I29" s="209">
        <v>245</v>
      </c>
      <c r="J29" s="207">
        <v>96</v>
      </c>
      <c r="K29" s="210">
        <v>39.183673469387756</v>
      </c>
    </row>
    <row r="30" spans="1:11" ht="13.5" customHeight="1" x14ac:dyDescent="0.2">
      <c r="A30" s="203" t="s">
        <v>249</v>
      </c>
      <c r="B30" s="204" t="s">
        <v>250</v>
      </c>
      <c r="C30" s="205"/>
      <c r="D30" s="206">
        <v>3.6084612194110326</v>
      </c>
      <c r="E30" s="207">
        <v>174</v>
      </c>
      <c r="F30" s="208">
        <v>255</v>
      </c>
      <c r="G30" s="208" t="s">
        <v>548</v>
      </c>
      <c r="H30" s="208">
        <v>116</v>
      </c>
      <c r="I30" s="209">
        <v>123</v>
      </c>
      <c r="J30" s="207">
        <v>51</v>
      </c>
      <c r="K30" s="210">
        <v>41.463414634146339</v>
      </c>
    </row>
    <row r="31" spans="1:11" ht="13.5" customHeight="1" x14ac:dyDescent="0.2">
      <c r="A31" s="203" t="s">
        <v>251</v>
      </c>
      <c r="B31" s="204" t="s">
        <v>252</v>
      </c>
      <c r="C31" s="205"/>
      <c r="D31" s="206">
        <v>3.3803401078390709</v>
      </c>
      <c r="E31" s="207">
        <v>163</v>
      </c>
      <c r="F31" s="208">
        <v>196</v>
      </c>
      <c r="G31" s="208">
        <v>121</v>
      </c>
      <c r="H31" s="208">
        <v>146</v>
      </c>
      <c r="I31" s="209" t="s">
        <v>548</v>
      </c>
      <c r="J31" s="207" t="s">
        <v>548</v>
      </c>
      <c r="K31" s="210" t="s">
        <v>548</v>
      </c>
    </row>
    <row r="32" spans="1:11" ht="13.5" customHeight="1" x14ac:dyDescent="0.2">
      <c r="A32" s="203">
        <v>31</v>
      </c>
      <c r="B32" s="204" t="s">
        <v>253</v>
      </c>
      <c r="C32" s="205"/>
      <c r="D32" s="206">
        <v>0.3318125259228536</v>
      </c>
      <c r="E32" s="430">
        <v>16</v>
      </c>
      <c r="F32" s="431">
        <v>18</v>
      </c>
      <c r="G32" s="431">
        <v>12</v>
      </c>
      <c r="H32" s="431">
        <v>21</v>
      </c>
      <c r="I32" s="432">
        <v>14</v>
      </c>
      <c r="J32" s="207">
        <v>2</v>
      </c>
      <c r="K32" s="210">
        <v>14.285714285714286</v>
      </c>
    </row>
    <row r="33" spans="1:11" ht="13.5" customHeight="1" x14ac:dyDescent="0.2">
      <c r="A33" s="203">
        <v>32</v>
      </c>
      <c r="B33" s="204" t="s">
        <v>254</v>
      </c>
      <c r="C33" s="205"/>
      <c r="D33" s="206">
        <v>3.6914143508917463</v>
      </c>
      <c r="E33" s="207">
        <v>178</v>
      </c>
      <c r="F33" s="208">
        <v>125</v>
      </c>
      <c r="G33" s="431">
        <v>59</v>
      </c>
      <c r="H33" s="208">
        <v>213</v>
      </c>
      <c r="I33" s="209">
        <v>139</v>
      </c>
      <c r="J33" s="207">
        <v>39</v>
      </c>
      <c r="K33" s="210">
        <v>28.057553956834532</v>
      </c>
    </row>
    <row r="34" spans="1:11" ht="13.5" customHeight="1" x14ac:dyDescent="0.2">
      <c r="A34" s="203">
        <v>33</v>
      </c>
      <c r="B34" s="204" t="s">
        <v>255</v>
      </c>
      <c r="C34" s="205"/>
      <c r="D34" s="206">
        <v>2.1775197013687269</v>
      </c>
      <c r="E34" s="207">
        <v>105</v>
      </c>
      <c r="F34" s="431">
        <v>72</v>
      </c>
      <c r="G34" s="431">
        <v>29</v>
      </c>
      <c r="H34" s="208">
        <v>106</v>
      </c>
      <c r="I34" s="432">
        <v>93</v>
      </c>
      <c r="J34" s="207">
        <v>12</v>
      </c>
      <c r="K34" s="210">
        <v>12.903225806451612</v>
      </c>
    </row>
    <row r="35" spans="1:11" ht="13.5" customHeight="1" x14ac:dyDescent="0.2">
      <c r="A35" s="203">
        <v>34</v>
      </c>
      <c r="B35" s="204" t="s">
        <v>256</v>
      </c>
      <c r="C35" s="205"/>
      <c r="D35" s="206">
        <v>3.4425549564496061</v>
      </c>
      <c r="E35" s="207">
        <v>166</v>
      </c>
      <c r="F35" s="208">
        <v>186</v>
      </c>
      <c r="G35" s="208">
        <v>105</v>
      </c>
      <c r="H35" s="208">
        <v>147</v>
      </c>
      <c r="I35" s="209">
        <v>133</v>
      </c>
      <c r="J35" s="207">
        <v>33</v>
      </c>
      <c r="K35" s="210">
        <v>24.81203007518797</v>
      </c>
    </row>
    <row r="36" spans="1:11" ht="13.5" customHeight="1" x14ac:dyDescent="0.2">
      <c r="A36" s="203">
        <v>41</v>
      </c>
      <c r="B36" s="204" t="s">
        <v>257</v>
      </c>
      <c r="C36" s="205"/>
      <c r="D36" s="206">
        <v>0.29033596018249691</v>
      </c>
      <c r="E36" s="430">
        <v>14</v>
      </c>
      <c r="F36" s="431">
        <v>15</v>
      </c>
      <c r="G36" s="431">
        <v>13</v>
      </c>
      <c r="H36" s="431">
        <v>49</v>
      </c>
      <c r="I36" s="432">
        <v>21</v>
      </c>
      <c r="J36" s="207">
        <v>-7</v>
      </c>
      <c r="K36" s="210">
        <v>-33.333333333333336</v>
      </c>
    </row>
    <row r="37" spans="1:11" ht="13.5" customHeight="1" x14ac:dyDescent="0.2">
      <c r="A37" s="203">
        <v>42</v>
      </c>
      <c r="B37" s="204" t="s">
        <v>258</v>
      </c>
      <c r="C37" s="205"/>
      <c r="D37" s="206" t="s">
        <v>548</v>
      </c>
      <c r="E37" s="207" t="s">
        <v>548</v>
      </c>
      <c r="F37" s="431">
        <v>6</v>
      </c>
      <c r="G37" s="431">
        <v>5</v>
      </c>
      <c r="H37" s="431">
        <v>16</v>
      </c>
      <c r="I37" s="432">
        <v>4</v>
      </c>
      <c r="J37" s="207" t="s">
        <v>548</v>
      </c>
      <c r="K37" s="210" t="s">
        <v>548</v>
      </c>
    </row>
    <row r="38" spans="1:11" ht="13.5" customHeight="1" x14ac:dyDescent="0.2">
      <c r="A38" s="203">
        <v>43</v>
      </c>
      <c r="B38" s="204" t="s">
        <v>259</v>
      </c>
      <c r="C38" s="205"/>
      <c r="D38" s="206">
        <v>0.60141020323517214</v>
      </c>
      <c r="E38" s="430">
        <v>29</v>
      </c>
      <c r="F38" s="431">
        <v>51</v>
      </c>
      <c r="G38" s="431">
        <v>35</v>
      </c>
      <c r="H38" s="431">
        <v>62</v>
      </c>
      <c r="I38" s="432">
        <v>23</v>
      </c>
      <c r="J38" s="207">
        <v>6</v>
      </c>
      <c r="K38" s="210">
        <v>26.086956521739129</v>
      </c>
    </row>
    <row r="39" spans="1:11" ht="13.5" customHeight="1" x14ac:dyDescent="0.2">
      <c r="A39" s="203">
        <v>51</v>
      </c>
      <c r="B39" s="204" t="s">
        <v>260</v>
      </c>
      <c r="C39" s="205"/>
      <c r="D39" s="206">
        <v>4.7490667772708424</v>
      </c>
      <c r="E39" s="207">
        <v>229</v>
      </c>
      <c r="F39" s="208">
        <v>197</v>
      </c>
      <c r="G39" s="208">
        <v>212</v>
      </c>
      <c r="H39" s="208">
        <v>324</v>
      </c>
      <c r="I39" s="209">
        <v>215</v>
      </c>
      <c r="J39" s="207">
        <v>14</v>
      </c>
      <c r="K39" s="210">
        <v>6.5116279069767442</v>
      </c>
    </row>
    <row r="40" spans="1:11" ht="13.5" customHeight="1" x14ac:dyDescent="0.2">
      <c r="A40" s="203" t="s">
        <v>261</v>
      </c>
      <c r="B40" s="204" t="s">
        <v>262</v>
      </c>
      <c r="C40" s="205"/>
      <c r="D40" s="206">
        <v>4.1269182911654916</v>
      </c>
      <c r="E40" s="207">
        <v>199</v>
      </c>
      <c r="F40" s="208">
        <v>149</v>
      </c>
      <c r="G40" s="208">
        <v>196</v>
      </c>
      <c r="H40" s="208">
        <v>298</v>
      </c>
      <c r="I40" s="209">
        <v>187</v>
      </c>
      <c r="J40" s="207">
        <v>12</v>
      </c>
      <c r="K40" s="210">
        <v>6.4171122994652405</v>
      </c>
    </row>
    <row r="41" spans="1:11" ht="13.5" customHeight="1" x14ac:dyDescent="0.2">
      <c r="A41" s="203"/>
      <c r="B41" s="204" t="s">
        <v>263</v>
      </c>
      <c r="C41" s="205"/>
      <c r="D41" s="206">
        <v>3.6914143508917463</v>
      </c>
      <c r="E41" s="207">
        <v>178</v>
      </c>
      <c r="F41" s="208">
        <v>130</v>
      </c>
      <c r="G41" s="208">
        <v>144</v>
      </c>
      <c r="H41" s="208">
        <v>229</v>
      </c>
      <c r="I41" s="209">
        <v>158</v>
      </c>
      <c r="J41" s="207">
        <v>20</v>
      </c>
      <c r="K41" s="210">
        <v>12.658227848101266</v>
      </c>
    </row>
    <row r="42" spans="1:11" ht="13.5" customHeight="1" x14ac:dyDescent="0.2">
      <c r="A42" s="203">
        <v>52</v>
      </c>
      <c r="B42" s="204" t="s">
        <v>264</v>
      </c>
      <c r="C42" s="205"/>
      <c r="D42" s="206">
        <v>4.8527581916217342</v>
      </c>
      <c r="E42" s="207">
        <v>234</v>
      </c>
      <c r="F42" s="208">
        <v>261</v>
      </c>
      <c r="G42" s="208">
        <v>146</v>
      </c>
      <c r="H42" s="208">
        <v>197</v>
      </c>
      <c r="I42" s="209">
        <v>285</v>
      </c>
      <c r="J42" s="207">
        <v>-51</v>
      </c>
      <c r="K42" s="210">
        <v>-17.894736842105264</v>
      </c>
    </row>
    <row r="43" spans="1:11" ht="13.5" customHeight="1" x14ac:dyDescent="0.2">
      <c r="A43" s="203" t="s">
        <v>265</v>
      </c>
      <c r="B43" s="204" t="s">
        <v>266</v>
      </c>
      <c r="C43" s="205"/>
      <c r="D43" s="206">
        <v>3.8987971795935294</v>
      </c>
      <c r="E43" s="207">
        <v>188</v>
      </c>
      <c r="F43" s="208">
        <v>210</v>
      </c>
      <c r="G43" s="208">
        <v>131</v>
      </c>
      <c r="H43" s="208">
        <v>158</v>
      </c>
      <c r="I43" s="209">
        <v>228</v>
      </c>
      <c r="J43" s="207">
        <v>-40</v>
      </c>
      <c r="K43" s="210">
        <v>-17.543859649122808</v>
      </c>
    </row>
    <row r="44" spans="1:11" ht="13.5" customHeight="1" x14ac:dyDescent="0.2">
      <c r="A44" s="203">
        <v>53</v>
      </c>
      <c r="B44" s="204" t="s">
        <v>267</v>
      </c>
      <c r="C44" s="205"/>
      <c r="D44" s="206">
        <v>1.2028204064703443</v>
      </c>
      <c r="E44" s="430">
        <v>58</v>
      </c>
      <c r="F44" s="431">
        <v>66</v>
      </c>
      <c r="G44" s="431">
        <v>31</v>
      </c>
      <c r="H44" s="431">
        <v>35</v>
      </c>
      <c r="I44" s="432">
        <v>39</v>
      </c>
      <c r="J44" s="207">
        <v>19</v>
      </c>
      <c r="K44" s="210">
        <v>48.717948717948715</v>
      </c>
    </row>
    <row r="45" spans="1:11" ht="13.5" customHeight="1" x14ac:dyDescent="0.2">
      <c r="A45" s="203" t="s">
        <v>268</v>
      </c>
      <c r="B45" s="204" t="s">
        <v>269</v>
      </c>
      <c r="C45" s="205"/>
      <c r="D45" s="206">
        <v>1.1613438407299876</v>
      </c>
      <c r="E45" s="430">
        <v>56</v>
      </c>
      <c r="F45" s="431">
        <v>62</v>
      </c>
      <c r="G45" s="431">
        <v>28</v>
      </c>
      <c r="H45" s="431">
        <v>34</v>
      </c>
      <c r="I45" s="432">
        <v>38</v>
      </c>
      <c r="J45" s="207">
        <v>18</v>
      </c>
      <c r="K45" s="210">
        <v>47.368421052631582</v>
      </c>
    </row>
    <row r="46" spans="1:11" ht="13.5" customHeight="1" x14ac:dyDescent="0.2">
      <c r="A46" s="203">
        <v>54</v>
      </c>
      <c r="B46" s="204" t="s">
        <v>270</v>
      </c>
      <c r="C46" s="205"/>
      <c r="D46" s="206">
        <v>3.753629199502281</v>
      </c>
      <c r="E46" s="207">
        <v>181</v>
      </c>
      <c r="F46" s="208">
        <v>190</v>
      </c>
      <c r="G46" s="208">
        <v>105</v>
      </c>
      <c r="H46" s="208">
        <v>157</v>
      </c>
      <c r="I46" s="209">
        <v>167</v>
      </c>
      <c r="J46" s="207">
        <v>14</v>
      </c>
      <c r="K46" s="210">
        <v>8.3832335329341312</v>
      </c>
    </row>
    <row r="47" spans="1:11" ht="13.5" customHeight="1" x14ac:dyDescent="0.2">
      <c r="A47" s="203">
        <v>61</v>
      </c>
      <c r="B47" s="204" t="s">
        <v>271</v>
      </c>
      <c r="C47" s="205"/>
      <c r="D47" s="206">
        <v>1.6798009124844462</v>
      </c>
      <c r="E47" s="430">
        <v>81</v>
      </c>
      <c r="F47" s="431">
        <v>92</v>
      </c>
      <c r="G47" s="431">
        <v>47</v>
      </c>
      <c r="H47" s="431">
        <v>74</v>
      </c>
      <c r="I47" s="432">
        <v>42</v>
      </c>
      <c r="J47" s="207">
        <v>39</v>
      </c>
      <c r="K47" s="210">
        <v>92.857142857142861</v>
      </c>
    </row>
    <row r="48" spans="1:11" ht="13.5" customHeight="1" x14ac:dyDescent="0.2">
      <c r="A48" s="203">
        <v>62</v>
      </c>
      <c r="B48" s="204" t="s">
        <v>272</v>
      </c>
      <c r="C48" s="205"/>
      <c r="D48" s="206">
        <v>6.8851099128992121</v>
      </c>
      <c r="E48" s="207">
        <v>332</v>
      </c>
      <c r="F48" s="208">
        <v>304</v>
      </c>
      <c r="G48" s="208">
        <v>311</v>
      </c>
      <c r="H48" s="208">
        <v>492</v>
      </c>
      <c r="I48" s="209">
        <v>316</v>
      </c>
      <c r="J48" s="207">
        <v>16</v>
      </c>
      <c r="K48" s="210">
        <v>5.0632911392405067</v>
      </c>
    </row>
    <row r="49" spans="1:11" ht="13.5" customHeight="1" x14ac:dyDescent="0.2">
      <c r="A49" s="203">
        <v>63</v>
      </c>
      <c r="B49" s="204" t="s">
        <v>273</v>
      </c>
      <c r="C49" s="205"/>
      <c r="D49" s="206">
        <v>6.7192036499377847</v>
      </c>
      <c r="E49" s="207">
        <v>324</v>
      </c>
      <c r="F49" s="208">
        <v>182</v>
      </c>
      <c r="G49" s="208">
        <v>135</v>
      </c>
      <c r="H49" s="208">
        <v>230</v>
      </c>
      <c r="I49" s="209">
        <v>280</v>
      </c>
      <c r="J49" s="207">
        <v>44</v>
      </c>
      <c r="K49" s="210">
        <v>15.714285714285714</v>
      </c>
    </row>
    <row r="50" spans="1:11" ht="13.5" customHeight="1" x14ac:dyDescent="0.2">
      <c r="A50" s="203" t="s">
        <v>274</v>
      </c>
      <c r="B50" s="204" t="s">
        <v>275</v>
      </c>
      <c r="C50" s="205"/>
      <c r="D50" s="206">
        <v>0.80879303193695562</v>
      </c>
      <c r="E50" s="430">
        <v>39</v>
      </c>
      <c r="F50" s="431">
        <v>28</v>
      </c>
      <c r="G50" s="431">
        <v>23</v>
      </c>
      <c r="H50" s="431">
        <v>37</v>
      </c>
      <c r="I50" s="432">
        <v>66</v>
      </c>
      <c r="J50" s="207">
        <v>-27</v>
      </c>
      <c r="K50" s="210">
        <v>-40.909090909090907</v>
      </c>
    </row>
    <row r="51" spans="1:11" ht="13.5" customHeight="1" x14ac:dyDescent="0.2">
      <c r="A51" s="203" t="s">
        <v>276</v>
      </c>
      <c r="B51" s="204" t="s">
        <v>277</v>
      </c>
      <c r="C51" s="205"/>
      <c r="D51" s="206">
        <v>5.5785980920779759</v>
      </c>
      <c r="E51" s="207">
        <v>269</v>
      </c>
      <c r="F51" s="208">
        <v>141</v>
      </c>
      <c r="G51" s="431">
        <v>95</v>
      </c>
      <c r="H51" s="208">
        <v>156</v>
      </c>
      <c r="I51" s="209">
        <v>190</v>
      </c>
      <c r="J51" s="207">
        <v>79</v>
      </c>
      <c r="K51" s="210">
        <v>41.578947368421055</v>
      </c>
    </row>
    <row r="52" spans="1:11" ht="13.5" customHeight="1" x14ac:dyDescent="0.2">
      <c r="A52" s="203">
        <v>71</v>
      </c>
      <c r="B52" s="204" t="s">
        <v>278</v>
      </c>
      <c r="C52" s="205"/>
      <c r="D52" s="206">
        <v>6.8436333471588551</v>
      </c>
      <c r="E52" s="207">
        <v>330</v>
      </c>
      <c r="F52" s="208">
        <v>516</v>
      </c>
      <c r="G52" s="208">
        <v>276</v>
      </c>
      <c r="H52" s="208">
        <v>427</v>
      </c>
      <c r="I52" s="209">
        <v>325</v>
      </c>
      <c r="J52" s="207">
        <v>5</v>
      </c>
      <c r="K52" s="210">
        <v>1.5384615384615385</v>
      </c>
    </row>
    <row r="53" spans="1:11" ht="13.5" customHeight="1" x14ac:dyDescent="0.2">
      <c r="A53" s="203" t="s">
        <v>279</v>
      </c>
      <c r="B53" s="204" t="s">
        <v>280</v>
      </c>
      <c r="C53" s="205"/>
      <c r="D53" s="206">
        <v>1.4931563666528411</v>
      </c>
      <c r="E53" s="430">
        <v>72</v>
      </c>
      <c r="F53" s="208">
        <v>128</v>
      </c>
      <c r="G53" s="431">
        <v>65</v>
      </c>
      <c r="H53" s="208">
        <v>116</v>
      </c>
      <c r="I53" s="432">
        <v>73</v>
      </c>
      <c r="J53" s="207">
        <v>-1</v>
      </c>
      <c r="K53" s="210">
        <v>-1.3698630136986301</v>
      </c>
    </row>
    <row r="54" spans="1:11" ht="13.5" customHeight="1" x14ac:dyDescent="0.2">
      <c r="A54" s="203" t="s">
        <v>281</v>
      </c>
      <c r="B54" s="204" t="s">
        <v>282</v>
      </c>
      <c r="C54" s="205"/>
      <c r="D54" s="206">
        <v>4.8734964744919118</v>
      </c>
      <c r="E54" s="207">
        <v>235</v>
      </c>
      <c r="F54" s="208">
        <v>326</v>
      </c>
      <c r="G54" s="208">
        <v>190</v>
      </c>
      <c r="H54" s="208">
        <v>284</v>
      </c>
      <c r="I54" s="209">
        <v>226</v>
      </c>
      <c r="J54" s="207">
        <v>9</v>
      </c>
      <c r="K54" s="210">
        <v>3.9823008849557522</v>
      </c>
    </row>
    <row r="55" spans="1:11" ht="13.5" customHeight="1" x14ac:dyDescent="0.2">
      <c r="A55" s="203">
        <v>72</v>
      </c>
      <c r="B55" s="204" t="s">
        <v>283</v>
      </c>
      <c r="C55" s="205"/>
      <c r="D55" s="206">
        <v>1.7420157610949814</v>
      </c>
      <c r="E55" s="430">
        <v>84</v>
      </c>
      <c r="F55" s="208">
        <v>108</v>
      </c>
      <c r="G55" s="431">
        <v>67</v>
      </c>
      <c r="H55" s="208">
        <v>108</v>
      </c>
      <c r="I55" s="432">
        <v>77</v>
      </c>
      <c r="J55" s="207">
        <v>7</v>
      </c>
      <c r="K55" s="210">
        <v>9.0909090909090917</v>
      </c>
    </row>
    <row r="56" spans="1:11" ht="13.5" customHeight="1" x14ac:dyDescent="0.2">
      <c r="A56" s="203" t="s">
        <v>284</v>
      </c>
      <c r="B56" s="204" t="s">
        <v>285</v>
      </c>
      <c r="C56" s="205"/>
      <c r="D56" s="206">
        <v>0.60141020323517214</v>
      </c>
      <c r="E56" s="430">
        <v>29</v>
      </c>
      <c r="F56" s="431">
        <v>22</v>
      </c>
      <c r="G56" s="431">
        <v>28</v>
      </c>
      <c r="H56" s="431">
        <v>34</v>
      </c>
      <c r="I56" s="432">
        <v>20</v>
      </c>
      <c r="J56" s="207">
        <v>9</v>
      </c>
      <c r="K56" s="210">
        <v>45</v>
      </c>
    </row>
    <row r="57" spans="1:11" ht="13.5" customHeight="1" x14ac:dyDescent="0.2">
      <c r="A57" s="203" t="s">
        <v>286</v>
      </c>
      <c r="B57" s="204" t="s">
        <v>287</v>
      </c>
      <c r="C57" s="205"/>
      <c r="D57" s="206">
        <v>0.89174616341766899</v>
      </c>
      <c r="E57" s="430">
        <v>43</v>
      </c>
      <c r="F57" s="431">
        <v>58</v>
      </c>
      <c r="G57" s="431">
        <v>33</v>
      </c>
      <c r="H57" s="431">
        <v>51</v>
      </c>
      <c r="I57" s="432">
        <v>41</v>
      </c>
      <c r="J57" s="207">
        <v>2</v>
      </c>
      <c r="K57" s="210">
        <v>4.8780487804878048</v>
      </c>
    </row>
    <row r="58" spans="1:11" ht="13.5" customHeight="1" x14ac:dyDescent="0.2">
      <c r="A58" s="203">
        <v>73</v>
      </c>
      <c r="B58" s="204" t="s">
        <v>288</v>
      </c>
      <c r="C58" s="205"/>
      <c r="D58" s="206">
        <v>0.87100788054749068</v>
      </c>
      <c r="E58" s="430">
        <v>42</v>
      </c>
      <c r="F58" s="431">
        <v>56</v>
      </c>
      <c r="G58" s="431">
        <v>49</v>
      </c>
      <c r="H58" s="431">
        <v>93</v>
      </c>
      <c r="I58" s="432">
        <v>50</v>
      </c>
      <c r="J58" s="207">
        <v>-8</v>
      </c>
      <c r="K58" s="210">
        <v>-16</v>
      </c>
    </row>
    <row r="59" spans="1:11" ht="13.5" customHeight="1" x14ac:dyDescent="0.2">
      <c r="A59" s="203" t="s">
        <v>289</v>
      </c>
      <c r="B59" s="204" t="s">
        <v>290</v>
      </c>
      <c r="C59" s="205"/>
      <c r="D59" s="206">
        <v>0.82953131480713393</v>
      </c>
      <c r="E59" s="430">
        <v>40</v>
      </c>
      <c r="F59" s="431">
        <v>50</v>
      </c>
      <c r="G59" s="431">
        <v>45</v>
      </c>
      <c r="H59" s="431">
        <v>76</v>
      </c>
      <c r="I59" s="432">
        <v>35</v>
      </c>
      <c r="J59" s="207">
        <v>5</v>
      </c>
      <c r="K59" s="210">
        <v>14.285714285714286</v>
      </c>
    </row>
    <row r="60" spans="1:11" ht="13.5" customHeight="1" x14ac:dyDescent="0.2">
      <c r="A60" s="203">
        <v>81</v>
      </c>
      <c r="B60" s="204" t="s">
        <v>291</v>
      </c>
      <c r="C60" s="205"/>
      <c r="D60" s="206">
        <v>7.3828287017834926</v>
      </c>
      <c r="E60" s="207">
        <v>356</v>
      </c>
      <c r="F60" s="208">
        <v>387</v>
      </c>
      <c r="G60" s="208">
        <v>293</v>
      </c>
      <c r="H60" s="208">
        <v>693</v>
      </c>
      <c r="I60" s="209">
        <v>288</v>
      </c>
      <c r="J60" s="207">
        <v>68</v>
      </c>
      <c r="K60" s="210">
        <v>23.611111111111111</v>
      </c>
    </row>
    <row r="61" spans="1:11" ht="13.5" customHeight="1" x14ac:dyDescent="0.2">
      <c r="A61" s="203" t="s">
        <v>292</v>
      </c>
      <c r="B61" s="204" t="s">
        <v>293</v>
      </c>
      <c r="C61" s="205"/>
      <c r="D61" s="206">
        <v>1.5553712152633763</v>
      </c>
      <c r="E61" s="430">
        <v>75</v>
      </c>
      <c r="F61" s="431">
        <v>59</v>
      </c>
      <c r="G61" s="431">
        <v>29</v>
      </c>
      <c r="H61" s="431">
        <v>91</v>
      </c>
      <c r="I61" s="432">
        <v>44</v>
      </c>
      <c r="J61" s="207">
        <v>31</v>
      </c>
      <c r="K61" s="210">
        <v>70.454545454545453</v>
      </c>
    </row>
    <row r="62" spans="1:11" ht="13.5" customHeight="1" x14ac:dyDescent="0.2">
      <c r="A62" s="203" t="s">
        <v>294</v>
      </c>
      <c r="B62" s="204" t="s">
        <v>365</v>
      </c>
      <c r="C62" s="205"/>
      <c r="D62" s="206">
        <v>3.7743674823724596</v>
      </c>
      <c r="E62" s="207">
        <v>182</v>
      </c>
      <c r="F62" s="208">
        <v>206</v>
      </c>
      <c r="G62" s="208">
        <v>178</v>
      </c>
      <c r="H62" s="208">
        <v>489</v>
      </c>
      <c r="I62" s="209">
        <v>158</v>
      </c>
      <c r="J62" s="207">
        <v>24</v>
      </c>
      <c r="K62" s="210">
        <v>15.189873417721518</v>
      </c>
    </row>
    <row r="63" spans="1:11" ht="13.5" customHeight="1" x14ac:dyDescent="0.2">
      <c r="A63" s="203" t="s">
        <v>296</v>
      </c>
      <c r="B63" s="204" t="s">
        <v>297</v>
      </c>
      <c r="C63" s="205"/>
      <c r="D63" s="206">
        <v>1.0161758606387392</v>
      </c>
      <c r="E63" s="430">
        <v>49</v>
      </c>
      <c r="F63" s="431">
        <v>49</v>
      </c>
      <c r="G63" s="431">
        <v>28</v>
      </c>
      <c r="H63" s="431">
        <v>42</v>
      </c>
      <c r="I63" s="432">
        <v>38</v>
      </c>
      <c r="J63" s="207">
        <v>11</v>
      </c>
      <c r="K63" s="210">
        <v>28.94736842105263</v>
      </c>
    </row>
    <row r="64" spans="1:11" ht="13.5" customHeight="1" x14ac:dyDescent="0.2">
      <c r="A64" s="203" t="s">
        <v>298</v>
      </c>
      <c r="B64" s="204" t="s">
        <v>299</v>
      </c>
      <c r="C64" s="205"/>
      <c r="D64" s="206">
        <v>0.45624222314392371</v>
      </c>
      <c r="E64" s="430">
        <v>22</v>
      </c>
      <c r="F64" s="431">
        <v>46</v>
      </c>
      <c r="G64" s="431">
        <v>29</v>
      </c>
      <c r="H64" s="431">
        <v>45</v>
      </c>
      <c r="I64" s="432">
        <v>32</v>
      </c>
      <c r="J64" s="207">
        <v>-10</v>
      </c>
      <c r="K64" s="210">
        <v>-31.25</v>
      </c>
    </row>
    <row r="65" spans="1:11" ht="13.5" customHeight="1" x14ac:dyDescent="0.2">
      <c r="A65" s="203">
        <v>82</v>
      </c>
      <c r="B65" s="204" t="s">
        <v>300</v>
      </c>
      <c r="C65" s="205"/>
      <c r="D65" s="206">
        <v>4.6661136457901282</v>
      </c>
      <c r="E65" s="207">
        <v>225</v>
      </c>
      <c r="F65" s="208">
        <v>215</v>
      </c>
      <c r="G65" s="208">
        <v>202</v>
      </c>
      <c r="H65" s="208">
        <v>302</v>
      </c>
      <c r="I65" s="209">
        <v>210</v>
      </c>
      <c r="J65" s="207">
        <v>15</v>
      </c>
      <c r="K65" s="210">
        <v>7.1428571428571432</v>
      </c>
    </row>
    <row r="66" spans="1:11" ht="13.5" customHeight="1" x14ac:dyDescent="0.2">
      <c r="A66" s="203" t="s">
        <v>301</v>
      </c>
      <c r="B66" s="204" t="s">
        <v>549</v>
      </c>
      <c r="C66" s="205"/>
      <c r="D66" s="206">
        <v>4.1269182911654916</v>
      </c>
      <c r="E66" s="207">
        <v>199</v>
      </c>
      <c r="F66" s="208">
        <v>169</v>
      </c>
      <c r="G66" s="208">
        <v>175</v>
      </c>
      <c r="H66" s="208">
        <v>252</v>
      </c>
      <c r="I66" s="209">
        <v>170</v>
      </c>
      <c r="J66" s="207">
        <v>29</v>
      </c>
      <c r="K66" s="210">
        <v>17.058823529411764</v>
      </c>
    </row>
    <row r="67" spans="1:11" ht="13.5" customHeight="1" x14ac:dyDescent="0.2">
      <c r="A67" s="203" t="s">
        <v>302</v>
      </c>
      <c r="B67" s="204" t="s">
        <v>303</v>
      </c>
      <c r="C67" s="205"/>
      <c r="D67" s="206">
        <v>0.3318125259228536</v>
      </c>
      <c r="E67" s="430">
        <v>16</v>
      </c>
      <c r="F67" s="431">
        <v>16</v>
      </c>
      <c r="G67" s="431">
        <v>14</v>
      </c>
      <c r="H67" s="431">
        <v>22</v>
      </c>
      <c r="I67" s="432">
        <v>19</v>
      </c>
      <c r="J67" s="207">
        <v>-3</v>
      </c>
      <c r="K67" s="210">
        <v>-15.789473684210526</v>
      </c>
    </row>
    <row r="68" spans="1:11" ht="13.5" customHeight="1" x14ac:dyDescent="0.2">
      <c r="A68" s="203">
        <v>83</v>
      </c>
      <c r="B68" s="204" t="s">
        <v>304</v>
      </c>
      <c r="C68" s="205"/>
      <c r="D68" s="206">
        <v>4.9564496059726251</v>
      </c>
      <c r="E68" s="207">
        <v>239</v>
      </c>
      <c r="F68" s="208">
        <v>327</v>
      </c>
      <c r="G68" s="208">
        <v>283</v>
      </c>
      <c r="H68" s="208">
        <v>500</v>
      </c>
      <c r="I68" s="209">
        <v>255</v>
      </c>
      <c r="J68" s="207">
        <v>-16</v>
      </c>
      <c r="K68" s="210">
        <v>-6.2745098039215685</v>
      </c>
    </row>
    <row r="69" spans="1:11" ht="13.5" customHeight="1" x14ac:dyDescent="0.2">
      <c r="A69" s="203" t="s">
        <v>305</v>
      </c>
      <c r="B69" s="204" t="s">
        <v>306</v>
      </c>
      <c r="C69" s="205"/>
      <c r="D69" s="206">
        <v>3.8987971795935294</v>
      </c>
      <c r="E69" s="207">
        <v>188</v>
      </c>
      <c r="F69" s="208">
        <v>245</v>
      </c>
      <c r="G69" s="208">
        <v>215</v>
      </c>
      <c r="H69" s="208">
        <v>432</v>
      </c>
      <c r="I69" s="209">
        <v>196</v>
      </c>
      <c r="J69" s="207">
        <v>-8</v>
      </c>
      <c r="K69" s="210">
        <v>-4.0816326530612246</v>
      </c>
    </row>
    <row r="70" spans="1:11" ht="13.5" customHeight="1" x14ac:dyDescent="0.2">
      <c r="A70" s="203"/>
      <c r="B70" s="204" t="s">
        <v>307</v>
      </c>
      <c r="C70" s="205"/>
      <c r="D70" s="206">
        <v>0.89174616341766899</v>
      </c>
      <c r="E70" s="430">
        <v>43</v>
      </c>
      <c r="F70" s="431">
        <v>78</v>
      </c>
      <c r="G70" s="431">
        <v>72</v>
      </c>
      <c r="H70" s="208">
        <v>217</v>
      </c>
      <c r="I70" s="432">
        <v>84</v>
      </c>
      <c r="J70" s="207">
        <v>-41</v>
      </c>
      <c r="K70" s="210">
        <v>-48.80952380952381</v>
      </c>
    </row>
    <row r="71" spans="1:11" ht="13.5" customHeight="1" x14ac:dyDescent="0.2">
      <c r="A71" s="203">
        <v>84</v>
      </c>
      <c r="B71" s="204" t="s">
        <v>308</v>
      </c>
      <c r="C71" s="205"/>
      <c r="D71" s="206">
        <v>1.8249688925756948</v>
      </c>
      <c r="E71" s="430">
        <v>88</v>
      </c>
      <c r="F71" s="208">
        <v>133</v>
      </c>
      <c r="G71" s="208">
        <v>105</v>
      </c>
      <c r="H71" s="208">
        <v>203</v>
      </c>
      <c r="I71" s="432">
        <v>91</v>
      </c>
      <c r="J71" s="207">
        <v>-3</v>
      </c>
      <c r="K71" s="210">
        <v>-3.2967032967032965</v>
      </c>
    </row>
    <row r="72" spans="1:11" ht="13.5" customHeight="1" x14ac:dyDescent="0.2">
      <c r="A72" s="203" t="s">
        <v>309</v>
      </c>
      <c r="B72" s="204" t="s">
        <v>310</v>
      </c>
      <c r="C72" s="205"/>
      <c r="D72" s="206">
        <v>0.60141020323517214</v>
      </c>
      <c r="E72" s="430">
        <v>29</v>
      </c>
      <c r="F72" s="431">
        <v>42</v>
      </c>
      <c r="G72" s="431">
        <v>47</v>
      </c>
      <c r="H72" s="431">
        <v>99</v>
      </c>
      <c r="I72" s="432">
        <v>22</v>
      </c>
      <c r="J72" s="207">
        <v>7</v>
      </c>
      <c r="K72" s="210">
        <v>31.818181818181817</v>
      </c>
    </row>
    <row r="73" spans="1:11" ht="13.5" customHeight="1" x14ac:dyDescent="0.2">
      <c r="A73" s="203" t="s">
        <v>311</v>
      </c>
      <c r="B73" s="204" t="s">
        <v>312</v>
      </c>
      <c r="C73" s="205"/>
      <c r="D73" s="206">
        <v>0.29033596018249691</v>
      </c>
      <c r="E73" s="430">
        <v>14</v>
      </c>
      <c r="F73" s="431">
        <v>23</v>
      </c>
      <c r="G73" s="431">
        <v>6</v>
      </c>
      <c r="H73" s="431">
        <v>20</v>
      </c>
      <c r="I73" s="432">
        <v>8</v>
      </c>
      <c r="J73" s="207">
        <v>6</v>
      </c>
      <c r="K73" s="210">
        <v>75</v>
      </c>
    </row>
    <row r="74" spans="1:11" s="60" customFormat="1" ht="13.5" customHeight="1" x14ac:dyDescent="0.2">
      <c r="A74" s="203" t="s">
        <v>313</v>
      </c>
      <c r="B74" s="204" t="s">
        <v>314</v>
      </c>
      <c r="C74" s="205"/>
      <c r="D74" s="206">
        <v>0.7880547490667773</v>
      </c>
      <c r="E74" s="430">
        <v>38</v>
      </c>
      <c r="F74" s="431">
        <v>36</v>
      </c>
      <c r="G74" s="431">
        <v>37</v>
      </c>
      <c r="H74" s="431">
        <v>30</v>
      </c>
      <c r="I74" s="432">
        <v>47</v>
      </c>
      <c r="J74" s="207">
        <v>-9</v>
      </c>
      <c r="K74" s="210">
        <v>-19.148936170212767</v>
      </c>
    </row>
    <row r="75" spans="1:11" s="87" customFormat="1" ht="13.5" customHeight="1" x14ac:dyDescent="0.2">
      <c r="A75" s="203">
        <v>91</v>
      </c>
      <c r="B75" s="204" t="s">
        <v>315</v>
      </c>
      <c r="C75" s="205"/>
      <c r="D75" s="206" t="s">
        <v>548</v>
      </c>
      <c r="E75" s="207" t="s">
        <v>548</v>
      </c>
      <c r="F75" s="431">
        <v>4</v>
      </c>
      <c r="G75" s="431">
        <v>4</v>
      </c>
      <c r="H75" s="431">
        <v>10</v>
      </c>
      <c r="I75" s="432">
        <v>5</v>
      </c>
      <c r="J75" s="207" t="s">
        <v>548</v>
      </c>
      <c r="K75" s="210" t="s">
        <v>548</v>
      </c>
    </row>
    <row r="76" spans="1:11" s="87" customFormat="1" ht="13.5" customHeight="1" x14ac:dyDescent="0.2">
      <c r="A76" s="203">
        <v>92</v>
      </c>
      <c r="B76" s="204" t="s">
        <v>316</v>
      </c>
      <c r="C76" s="205"/>
      <c r="D76" s="206">
        <v>0.55993363749481539</v>
      </c>
      <c r="E76" s="430">
        <v>27</v>
      </c>
      <c r="F76" s="431">
        <v>38</v>
      </c>
      <c r="G76" s="431">
        <v>42</v>
      </c>
      <c r="H76" s="431">
        <v>22</v>
      </c>
      <c r="I76" s="432">
        <v>61</v>
      </c>
      <c r="J76" s="207">
        <v>-34</v>
      </c>
      <c r="K76" s="210">
        <v>-55.73770491803279</v>
      </c>
    </row>
    <row r="77" spans="1:11" s="60" customFormat="1" ht="13.5" customHeight="1" x14ac:dyDescent="0.2">
      <c r="A77" s="203">
        <v>93</v>
      </c>
      <c r="B77" s="204" t="s">
        <v>317</v>
      </c>
      <c r="C77" s="205"/>
      <c r="D77" s="206">
        <v>0.1244296972210701</v>
      </c>
      <c r="E77" s="430">
        <v>6</v>
      </c>
      <c r="F77" s="431">
        <v>11</v>
      </c>
      <c r="G77" s="431">
        <v>3</v>
      </c>
      <c r="H77" s="431">
        <v>15</v>
      </c>
      <c r="I77" s="432">
        <v>7</v>
      </c>
      <c r="J77" s="207">
        <v>-1</v>
      </c>
      <c r="K77" s="210">
        <v>-14.285714285714286</v>
      </c>
    </row>
    <row r="78" spans="1:11" s="274" customFormat="1" ht="13.5" customHeight="1" x14ac:dyDescent="0.2">
      <c r="A78" s="203">
        <v>94</v>
      </c>
      <c r="B78" s="204" t="s">
        <v>318</v>
      </c>
      <c r="C78" s="205"/>
      <c r="D78" s="206">
        <v>0.97469929489838236</v>
      </c>
      <c r="E78" s="430">
        <v>47</v>
      </c>
      <c r="F78" s="431">
        <v>39</v>
      </c>
      <c r="G78" s="431">
        <v>62</v>
      </c>
      <c r="H78" s="431">
        <v>99</v>
      </c>
      <c r="I78" s="432">
        <v>60</v>
      </c>
      <c r="J78" s="207">
        <v>-13</v>
      </c>
      <c r="K78" s="210">
        <v>-21.666666666666668</v>
      </c>
    </row>
    <row r="79" spans="1:11" s="60" customFormat="1" ht="13.5" customHeight="1" x14ac:dyDescent="0.2">
      <c r="A79" s="217" t="s">
        <v>319</v>
      </c>
      <c r="B79" s="218" t="s">
        <v>320</v>
      </c>
      <c r="C79" s="219"/>
      <c r="D79" s="220">
        <v>0.26959767731231854</v>
      </c>
      <c r="E79" s="433">
        <v>13</v>
      </c>
      <c r="F79" s="434">
        <v>9</v>
      </c>
      <c r="G79" s="434">
        <v>15</v>
      </c>
      <c r="H79" s="434">
        <v>57</v>
      </c>
      <c r="I79" s="435">
        <v>15</v>
      </c>
      <c r="J79" s="221">
        <v>-2</v>
      </c>
      <c r="K79" s="429">
        <v>-13.333333333333334</v>
      </c>
    </row>
    <row r="80" spans="1:11" s="60" customFormat="1" ht="12.75" customHeight="1" x14ac:dyDescent="0.2">
      <c r="K80" s="88" t="s">
        <v>37</v>
      </c>
    </row>
    <row r="81" spans="1:11" s="60" customFormat="1" ht="15.75" customHeight="1" x14ac:dyDescent="0.2">
      <c r="A81" s="87" t="s">
        <v>116</v>
      </c>
      <c r="B81" s="87"/>
      <c r="C81" s="87"/>
      <c r="D81" s="87"/>
      <c r="E81" s="87"/>
      <c r="F81" s="87"/>
      <c r="G81" s="87"/>
      <c r="H81" s="87"/>
      <c r="I81" s="87"/>
      <c r="J81" s="87"/>
      <c r="K81" s="87"/>
    </row>
    <row r="82" spans="1:11" ht="22" customHeight="1" x14ac:dyDescent="0.2">
      <c r="A82" s="440" t="s">
        <v>366</v>
      </c>
      <c r="B82" s="440"/>
      <c r="C82" s="440"/>
      <c r="D82" s="440"/>
      <c r="E82" s="440"/>
      <c r="F82" s="440"/>
      <c r="G82" s="440"/>
      <c r="H82" s="440"/>
      <c r="I82" s="440"/>
      <c r="J82" s="440"/>
      <c r="K82" s="440"/>
    </row>
    <row r="83" spans="1:11" ht="21" customHeight="1" x14ac:dyDescent="0.2">
      <c r="A83" s="512" t="s">
        <v>367</v>
      </c>
      <c r="B83" s="512"/>
      <c r="C83" s="512"/>
      <c r="D83" s="512"/>
      <c r="E83" s="512"/>
      <c r="F83" s="512"/>
      <c r="G83" s="512"/>
      <c r="H83" s="512"/>
      <c r="I83" s="512"/>
      <c r="J83" s="512"/>
      <c r="K83" s="512"/>
    </row>
    <row r="84" spans="1:11" ht="21" customHeight="1" x14ac:dyDescent="0.2">
      <c r="A84" s="440" t="s">
        <v>323</v>
      </c>
      <c r="B84" s="440"/>
      <c r="C84" s="440"/>
      <c r="D84" s="440"/>
      <c r="E84" s="440"/>
      <c r="F84" s="440"/>
      <c r="G84" s="440"/>
      <c r="H84" s="440"/>
      <c r="I84" s="440"/>
      <c r="J84" s="440"/>
      <c r="K84" s="440"/>
    </row>
    <row r="85" spans="1:11" ht="15.75" customHeight="1" x14ac:dyDescent="0.2">
      <c r="A85" s="87" t="s">
        <v>368</v>
      </c>
      <c r="B85" s="60"/>
      <c r="C85" s="60"/>
      <c r="D85" s="60"/>
      <c r="E85" s="60"/>
      <c r="F85" s="60"/>
      <c r="G85" s="60"/>
      <c r="H85" s="60"/>
      <c r="I85" s="60"/>
      <c r="J85" s="60"/>
      <c r="K85" s="60"/>
    </row>
    <row r="86" spans="1:11" ht="15.75" customHeight="1" x14ac:dyDescent="0.2">
      <c r="A86" s="440" t="s">
        <v>324</v>
      </c>
      <c r="B86" s="440"/>
      <c r="C86" s="440"/>
      <c r="D86" s="440"/>
      <c r="E86" s="440"/>
      <c r="F86" s="440"/>
      <c r="G86" s="440"/>
      <c r="H86" s="440"/>
      <c r="I86" s="440"/>
      <c r="J86" s="440"/>
      <c r="K86" s="440"/>
    </row>
    <row r="87" spans="1:11" ht="15.75" customHeight="1" x14ac:dyDescent="0.2">
      <c r="A87" s="60"/>
      <c r="B87" s="60"/>
      <c r="C87" s="60"/>
      <c r="D87" s="60"/>
      <c r="E87" s="60"/>
      <c r="F87" s="60"/>
      <c r="G87" s="60"/>
      <c r="H87" s="60"/>
      <c r="I87" s="60"/>
      <c r="J87" s="60"/>
      <c r="K87" s="60"/>
    </row>
    <row r="88" spans="1:11" ht="15.75" customHeight="1" x14ac:dyDescent="0.2">
      <c r="D88" s="37"/>
      <c r="E88" s="37"/>
      <c r="F88" s="37"/>
      <c r="G88" s="37"/>
      <c r="H88" s="37"/>
      <c r="I88" s="37"/>
      <c r="J88" s="37"/>
      <c r="K88" s="37"/>
    </row>
    <row r="89" spans="1:11" ht="15.75" customHeight="1" x14ac:dyDescent="0.2">
      <c r="D89" s="37"/>
      <c r="E89" s="37"/>
      <c r="F89" s="37"/>
      <c r="G89" s="37"/>
      <c r="H89" s="37"/>
      <c r="I89" s="37"/>
      <c r="J89" s="37"/>
      <c r="K89" s="37"/>
    </row>
    <row r="90" spans="1:11" ht="15.75" customHeight="1" x14ac:dyDescent="0.2">
      <c r="D90" s="37"/>
      <c r="E90" s="37"/>
      <c r="F90" s="37"/>
      <c r="G90" s="37"/>
      <c r="H90" s="37"/>
      <c r="I90" s="37"/>
      <c r="J90" s="37"/>
      <c r="K90" s="37"/>
    </row>
    <row r="91" spans="1:11" ht="15.75" customHeight="1" x14ac:dyDescent="0.2">
      <c r="D91" s="37"/>
      <c r="E91" s="37"/>
      <c r="F91" s="37"/>
      <c r="G91" s="37"/>
      <c r="H91" s="37"/>
      <c r="I91" s="37"/>
      <c r="J91" s="37"/>
      <c r="K91" s="37"/>
    </row>
    <row r="92" spans="1:11" ht="15.75" customHeight="1" x14ac:dyDescent="0.2">
      <c r="D92" s="37"/>
      <c r="E92" s="37"/>
      <c r="F92" s="37"/>
      <c r="G92" s="37"/>
      <c r="H92" s="37"/>
      <c r="I92" s="37"/>
      <c r="J92" s="37"/>
      <c r="K92" s="37"/>
    </row>
    <row r="93" spans="1:11" ht="15.75" customHeight="1" x14ac:dyDescent="0.2">
      <c r="D93" s="37"/>
      <c r="E93" s="37"/>
      <c r="F93" s="37"/>
      <c r="G93" s="37"/>
      <c r="H93" s="37"/>
      <c r="I93" s="37"/>
      <c r="J93" s="37"/>
      <c r="K93" s="37"/>
    </row>
    <row r="94" spans="1:11" ht="16" customHeight="1" x14ac:dyDescent="0.2">
      <c r="D94" s="37"/>
      <c r="E94" s="37"/>
      <c r="F94" s="37"/>
      <c r="G94" s="37"/>
      <c r="H94" s="37"/>
      <c r="I94" s="37"/>
      <c r="J94" s="37"/>
      <c r="K94" s="37"/>
    </row>
    <row r="95" spans="1:11" ht="16" customHeight="1" x14ac:dyDescent="0.2">
      <c r="D95" s="37"/>
      <c r="E95" s="37"/>
      <c r="F95" s="37"/>
      <c r="G95" s="37"/>
      <c r="H95" s="37"/>
      <c r="I95" s="37"/>
      <c r="J95" s="37"/>
      <c r="K95" s="37"/>
    </row>
    <row r="96" spans="1:11" ht="16" customHeight="1" x14ac:dyDescent="0.2">
      <c r="D96" s="37"/>
      <c r="E96" s="37"/>
      <c r="F96" s="37"/>
      <c r="G96" s="37"/>
      <c r="H96" s="37"/>
      <c r="I96" s="37"/>
      <c r="J96" s="37"/>
      <c r="K96" s="37"/>
    </row>
    <row r="97" s="37" customFormat="1" ht="16" customHeight="1" x14ac:dyDescent="0.2"/>
    <row r="98" s="37" customFormat="1" ht="16" customHeight="1" x14ac:dyDescent="0.2"/>
    <row r="99" s="37" customFormat="1" ht="16" customHeight="1" x14ac:dyDescent="0.2"/>
    <row r="100" s="37" customFormat="1" ht="16" customHeight="1" x14ac:dyDescent="0.2"/>
    <row r="101" s="37" customFormat="1" ht="16" customHeight="1" x14ac:dyDescent="0.2"/>
    <row r="102" s="37" customFormat="1" ht="16" customHeight="1" x14ac:dyDescent="0.2"/>
    <row r="103" s="37" customFormat="1" ht="16" customHeight="1" x14ac:dyDescent="0.2"/>
    <row r="104" s="37" customFormat="1" ht="16" customHeight="1" x14ac:dyDescent="0.2"/>
    <row r="105" s="37" customFormat="1" ht="16" customHeight="1" x14ac:dyDescent="0.2"/>
    <row r="106" s="37" customFormat="1" ht="16" customHeight="1" x14ac:dyDescent="0.2"/>
    <row r="107" s="37" customFormat="1" ht="16" customHeight="1" x14ac:dyDescent="0.2"/>
    <row r="108" s="37" customFormat="1" ht="16" customHeight="1" x14ac:dyDescent="0.2"/>
    <row r="109" s="37" customFormat="1" ht="16" customHeight="1" x14ac:dyDescent="0.2"/>
    <row r="110" s="37" customFormat="1" ht="16" customHeight="1" x14ac:dyDescent="0.2"/>
    <row r="111" s="37" customFormat="1" ht="16" customHeight="1" x14ac:dyDescent="0.2"/>
    <row r="112" s="37" customFormat="1" ht="16" customHeight="1" x14ac:dyDescent="0.2"/>
    <row r="113" s="37" customFormat="1" ht="16" customHeight="1" x14ac:dyDescent="0.2"/>
    <row r="114" s="37" customFormat="1" ht="16" customHeight="1" x14ac:dyDescent="0.2"/>
    <row r="115" s="37" customFormat="1" ht="16" customHeight="1" x14ac:dyDescent="0.2"/>
    <row r="116" s="37" customFormat="1" ht="16" customHeight="1" x14ac:dyDescent="0.2"/>
    <row r="117" s="37" customFormat="1" ht="16" customHeight="1" x14ac:dyDescent="0.2"/>
    <row r="118" s="37" customFormat="1" ht="16" customHeight="1" x14ac:dyDescent="0.2"/>
    <row r="119" s="37" customFormat="1" ht="16" customHeight="1" x14ac:dyDescent="0.2"/>
    <row r="120" s="37" customFormat="1" ht="16" customHeight="1" x14ac:dyDescent="0.2"/>
    <row r="121" s="37" customFormat="1" ht="16" customHeight="1" x14ac:dyDescent="0.2"/>
    <row r="122" s="37" customFormat="1" ht="16" customHeight="1" x14ac:dyDescent="0.2"/>
    <row r="123" s="37" customFormat="1" ht="16" customHeight="1" x14ac:dyDescent="0.2"/>
    <row r="124" s="37" customFormat="1" ht="16" customHeight="1" x14ac:dyDescent="0.2"/>
    <row r="125" s="37" customFormat="1" ht="16" customHeight="1" x14ac:dyDescent="0.2"/>
    <row r="126" s="37" customFormat="1" ht="16" customHeight="1" x14ac:dyDescent="0.2"/>
    <row r="127" s="37" customFormat="1" ht="16" customHeight="1" x14ac:dyDescent="0.2"/>
    <row r="128" s="37" customFormat="1" ht="16" customHeight="1" x14ac:dyDescent="0.2"/>
    <row r="129" s="37" customFormat="1" ht="16" customHeight="1" x14ac:dyDescent="0.2"/>
    <row r="130" s="37" customFormat="1" ht="16" customHeight="1" x14ac:dyDescent="0.2"/>
    <row r="131" s="37" customFormat="1" ht="16" customHeight="1" x14ac:dyDescent="0.2"/>
    <row r="132" s="37" customFormat="1" ht="16" customHeight="1" x14ac:dyDescent="0.2"/>
    <row r="133" s="37" customFormat="1" ht="16" customHeight="1" x14ac:dyDescent="0.2"/>
    <row r="134" s="37" customFormat="1" ht="16" customHeight="1" x14ac:dyDescent="0.2"/>
    <row r="135" s="37" customFormat="1" ht="16" customHeight="1" x14ac:dyDescent="0.2"/>
    <row r="136" s="37" customFormat="1" ht="16" customHeight="1" x14ac:dyDescent="0.2"/>
    <row r="137" s="37" customFormat="1" ht="16" customHeight="1" x14ac:dyDescent="0.2"/>
    <row r="138" s="37" customFormat="1" ht="16" customHeight="1" x14ac:dyDescent="0.2"/>
    <row r="139" s="37" customFormat="1" ht="16" customHeight="1" x14ac:dyDescent="0.2"/>
    <row r="140" s="37" customFormat="1" ht="16" customHeight="1" x14ac:dyDescent="0.2"/>
    <row r="141" s="37" customFormat="1" ht="16" customHeight="1" x14ac:dyDescent="0.2"/>
    <row r="142" s="37" customFormat="1" ht="16" customHeight="1" x14ac:dyDescent="0.2"/>
    <row r="143" s="37" customFormat="1" ht="16" customHeight="1" x14ac:dyDescent="0.2"/>
    <row r="144" s="37" customFormat="1" ht="16" customHeight="1" x14ac:dyDescent="0.2"/>
    <row r="145" s="37" customFormat="1" ht="16" customHeight="1" x14ac:dyDescent="0.2"/>
    <row r="146" s="37" customFormat="1" ht="16" customHeight="1" x14ac:dyDescent="0.2"/>
    <row r="147" s="37" customFormat="1" ht="16" customHeight="1" x14ac:dyDescent="0.2"/>
    <row r="148" s="37" customFormat="1" ht="16" customHeight="1" x14ac:dyDescent="0.2"/>
    <row r="149" s="37" customFormat="1" ht="16" customHeight="1" x14ac:dyDescent="0.2"/>
    <row r="150" s="37" customFormat="1" ht="16" customHeight="1" x14ac:dyDescent="0.2"/>
    <row r="151" s="37" customFormat="1" ht="16" customHeight="1" x14ac:dyDescent="0.2"/>
    <row r="152" s="37" customFormat="1" ht="16" customHeight="1" x14ac:dyDescent="0.2"/>
    <row r="153" s="37" customFormat="1" ht="16" customHeight="1" x14ac:dyDescent="0.2"/>
    <row r="154" s="37" customFormat="1" ht="16" customHeight="1" x14ac:dyDescent="0.2"/>
    <row r="155" s="37" customFormat="1" ht="16" customHeight="1" x14ac:dyDescent="0.2"/>
    <row r="156" s="37" customFormat="1" ht="16" customHeight="1" x14ac:dyDescent="0.2"/>
    <row r="157" s="37" customFormat="1" ht="16" customHeight="1" x14ac:dyDescent="0.2"/>
    <row r="158" s="37" customFormat="1" ht="16" customHeight="1" x14ac:dyDescent="0.2"/>
    <row r="159" s="37" customFormat="1" ht="16" customHeight="1" x14ac:dyDescent="0.2"/>
    <row r="160" s="37" customFormat="1" ht="16" customHeight="1" x14ac:dyDescent="0.2"/>
    <row r="161" s="37" customFormat="1" ht="16" customHeight="1" x14ac:dyDescent="0.2"/>
    <row r="162" s="37" customFormat="1" ht="16" customHeight="1" x14ac:dyDescent="0.2"/>
    <row r="163" s="37" customFormat="1" ht="16" customHeight="1" x14ac:dyDescent="0.2"/>
    <row r="164" s="37" customFormat="1" ht="16" customHeight="1" x14ac:dyDescent="0.2"/>
    <row r="165" s="37" customFormat="1" ht="16" customHeight="1" x14ac:dyDescent="0.2"/>
    <row r="166" s="37" customFormat="1" ht="16" customHeight="1" x14ac:dyDescent="0.2"/>
    <row r="167" s="37" customFormat="1" ht="16" customHeight="1" x14ac:dyDescent="0.2"/>
    <row r="168" s="37" customFormat="1" ht="16" customHeight="1" x14ac:dyDescent="0.2"/>
    <row r="169" s="37" customFormat="1" ht="16" customHeight="1" x14ac:dyDescent="0.2"/>
    <row r="170" s="37" customFormat="1" ht="16" customHeight="1" x14ac:dyDescent="0.2"/>
    <row r="171" s="37" customFormat="1" ht="16" customHeight="1" x14ac:dyDescent="0.2"/>
    <row r="172" s="37" customFormat="1" ht="16" customHeight="1" x14ac:dyDescent="0.2"/>
    <row r="173" s="37" customFormat="1" ht="16" customHeight="1" x14ac:dyDescent="0.2"/>
    <row r="174" s="37" customFormat="1" ht="16" customHeight="1" x14ac:dyDescent="0.2"/>
    <row r="175" s="37" customFormat="1" ht="16" customHeight="1" x14ac:dyDescent="0.2"/>
    <row r="176" s="37" customFormat="1" ht="16" customHeight="1" x14ac:dyDescent="0.2"/>
    <row r="177" s="37" customFormat="1" ht="16" customHeight="1" x14ac:dyDescent="0.2"/>
    <row r="178" s="37" customFormat="1" ht="16" customHeight="1" x14ac:dyDescent="0.2"/>
    <row r="179" s="37" customFormat="1" ht="16" customHeight="1" x14ac:dyDescent="0.2"/>
    <row r="180" s="37" customFormat="1" ht="16" customHeight="1" x14ac:dyDescent="0.2"/>
    <row r="181" s="37" customFormat="1" ht="16" customHeight="1" x14ac:dyDescent="0.2"/>
    <row r="182" s="37" customFormat="1" ht="16" customHeight="1" x14ac:dyDescent="0.2"/>
    <row r="183" s="37" customFormat="1" ht="16" customHeight="1" x14ac:dyDescent="0.2"/>
    <row r="184" s="37" customFormat="1" ht="16" customHeight="1" x14ac:dyDescent="0.2"/>
    <row r="185" s="37" customFormat="1" ht="16" customHeight="1" x14ac:dyDescent="0.2"/>
    <row r="186" s="37" customFormat="1" ht="16" customHeight="1" x14ac:dyDescent="0.2"/>
    <row r="187" s="37" customFormat="1" ht="16" customHeight="1" x14ac:dyDescent="0.2"/>
    <row r="188" s="37" customFormat="1" ht="16" customHeight="1" x14ac:dyDescent="0.2"/>
    <row r="189" s="37" customFormat="1" ht="16" customHeight="1" x14ac:dyDescent="0.2"/>
    <row r="190" s="37" customFormat="1" ht="16" customHeight="1" x14ac:dyDescent="0.2"/>
    <row r="191" s="37" customFormat="1" ht="16" customHeight="1" x14ac:dyDescent="0.2"/>
    <row r="192" s="37" customFormat="1" ht="16" customHeight="1" x14ac:dyDescent="0.2"/>
    <row r="193" s="37" customFormat="1" ht="16" customHeight="1" x14ac:dyDescent="0.2"/>
    <row r="194" s="37" customFormat="1" ht="16" customHeight="1" x14ac:dyDescent="0.2"/>
    <row r="195" s="37" customFormat="1" ht="16" customHeight="1" x14ac:dyDescent="0.2"/>
    <row r="196" s="37" customFormat="1" ht="16" customHeight="1" x14ac:dyDescent="0.2"/>
    <row r="197" s="37" customFormat="1" ht="16" customHeight="1" x14ac:dyDescent="0.2"/>
  </sheetData>
  <mergeCells count="16">
    <mergeCell ref="A86:K86"/>
    <mergeCell ref="A3:K3"/>
    <mergeCell ref="A4:K4"/>
    <mergeCell ref="A5:E5"/>
    <mergeCell ref="A7:C10"/>
    <mergeCell ref="D7:D10"/>
    <mergeCell ref="E7:I7"/>
    <mergeCell ref="J7:K8"/>
    <mergeCell ref="E8:E9"/>
    <mergeCell ref="F8:F9"/>
    <mergeCell ref="G8:G9"/>
    <mergeCell ref="H8:H9"/>
    <mergeCell ref="I8:I9"/>
    <mergeCell ref="A82:K82"/>
    <mergeCell ref="A83:K83"/>
    <mergeCell ref="A84:K84"/>
  </mergeCells>
  <printOptions horizontalCentered="1"/>
  <pageMargins left="0.70866141732283472" right="0.31496062992125984" top="0.74803149606299213" bottom="0.74803149606299213" header="0.31496062992125984" footer="0.31496062992125984"/>
  <pageSetup paperSize="9" scale="78" fitToHeight="0" orientation="portrait" r:id="rId1"/>
  <headerFooter alignWithMargins="0"/>
  <rowBreaks count="1" manualBreakCount="1">
    <brk id="59" max="10"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8C0C-29A4-40AD-BC8F-5DEB99DA0E88}">
  <sheetPr codeName="Tabelle22">
    <pageSetUpPr fitToPage="1"/>
  </sheetPr>
  <dimension ref="A1:O200"/>
  <sheetViews>
    <sheetView showGridLines="0" zoomScaleNormal="100" workbookViewId="0"/>
  </sheetViews>
  <sheetFormatPr defaultColWidth="8.81640625" defaultRowHeight="16" customHeight="1" x14ac:dyDescent="0.2"/>
  <cols>
    <col min="1" max="1" width="9.7265625" style="37" customWidth="1"/>
    <col min="2" max="2" width="48.7265625" style="37" customWidth="1"/>
    <col min="3" max="3" width="6.7265625" style="61" customWidth="1"/>
    <col min="4" max="9" width="9.7265625" style="90" customWidth="1"/>
    <col min="10" max="10" width="9.7265625" style="91" customWidth="1"/>
    <col min="11" max="11" width="9.7265625" style="37" customWidth="1"/>
    <col min="12" max="16384" width="8.81640625" style="37"/>
  </cols>
  <sheetData>
    <row r="1" spans="1:15" customFormat="1" ht="36.75" customHeight="1" x14ac:dyDescent="0.25">
      <c r="A1" s="30"/>
      <c r="B1" s="31"/>
      <c r="C1" s="161"/>
      <c r="D1" s="31"/>
      <c r="E1" s="31"/>
      <c r="F1" s="31"/>
      <c r="G1" s="31"/>
      <c r="H1" s="31"/>
      <c r="I1" s="31"/>
      <c r="J1" s="32" t="s">
        <v>40</v>
      </c>
    </row>
    <row r="2" spans="1:15" customFormat="1" ht="6.25" customHeight="1" x14ac:dyDescent="0.25">
      <c r="A2" s="33"/>
      <c r="B2" s="34"/>
      <c r="C2" s="163"/>
      <c r="D2" s="34"/>
      <c r="E2" s="34"/>
      <c r="F2" s="34"/>
      <c r="G2" s="34"/>
      <c r="H2" s="34"/>
      <c r="I2" s="34"/>
      <c r="J2" s="34"/>
    </row>
    <row r="3" spans="1:15" s="35" customFormat="1" ht="25" customHeight="1" x14ac:dyDescent="0.35">
      <c r="A3" s="444" t="s">
        <v>369</v>
      </c>
      <c r="B3" s="445"/>
      <c r="C3" s="445"/>
      <c r="D3" s="445"/>
      <c r="E3" s="445"/>
      <c r="F3" s="445"/>
      <c r="G3" s="445"/>
      <c r="H3" s="445"/>
      <c r="I3" s="445"/>
      <c r="J3" s="445"/>
    </row>
    <row r="4" spans="1:15" s="35" customFormat="1" ht="12" customHeight="1" x14ac:dyDescent="0.35">
      <c r="A4" s="446" t="s">
        <v>86</v>
      </c>
      <c r="B4" s="446"/>
      <c r="C4" s="446"/>
      <c r="D4" s="446"/>
      <c r="E4" s="446"/>
      <c r="F4" s="446"/>
      <c r="G4" s="446"/>
      <c r="H4" s="446"/>
      <c r="I4" s="446"/>
      <c r="J4" s="446"/>
    </row>
    <row r="5" spans="1:15" s="35" customFormat="1" ht="12" customHeight="1" x14ac:dyDescent="0.35">
      <c r="A5" s="447" t="s">
        <v>336</v>
      </c>
      <c r="B5" s="447"/>
      <c r="C5" s="447"/>
      <c r="D5" s="447"/>
      <c r="E5" s="165"/>
      <c r="F5" s="165"/>
      <c r="G5" s="165"/>
      <c r="H5" s="165"/>
      <c r="I5" s="165"/>
      <c r="J5" s="165"/>
    </row>
    <row r="6" spans="1:15" s="35" customFormat="1" ht="11.25" customHeight="1" x14ac:dyDescent="0.35">
      <c r="A6" s="145"/>
      <c r="B6" s="146"/>
      <c r="C6" s="146"/>
      <c r="D6" s="146"/>
      <c r="E6" s="146"/>
      <c r="F6" s="146"/>
      <c r="G6" s="146"/>
      <c r="H6" s="146"/>
      <c r="I6" s="146"/>
      <c r="J6" s="146"/>
    </row>
    <row r="7" spans="1:15" customFormat="1" ht="25" customHeight="1" x14ac:dyDescent="0.25">
      <c r="A7" s="462" t="s">
        <v>209</v>
      </c>
      <c r="B7" s="463"/>
      <c r="C7" s="456" t="s">
        <v>88</v>
      </c>
      <c r="D7" s="520" t="s">
        <v>370</v>
      </c>
      <c r="E7" s="521"/>
      <c r="F7" s="521"/>
      <c r="G7" s="521"/>
      <c r="H7" s="522"/>
      <c r="I7" s="462" t="s">
        <v>360</v>
      </c>
      <c r="J7" s="463"/>
      <c r="K7" s="37"/>
      <c r="L7" s="37"/>
      <c r="M7" s="37"/>
      <c r="N7" s="37"/>
      <c r="O7" s="37"/>
    </row>
    <row r="8" spans="1:15" ht="21.75" customHeight="1" x14ac:dyDescent="0.2">
      <c r="A8" s="487"/>
      <c r="B8" s="488"/>
      <c r="C8" s="457"/>
      <c r="D8" s="438" t="s">
        <v>336</v>
      </c>
      <c r="E8" s="438" t="s">
        <v>338</v>
      </c>
      <c r="F8" s="438" t="s">
        <v>339</v>
      </c>
      <c r="G8" s="438" t="s">
        <v>340</v>
      </c>
      <c r="H8" s="438" t="s">
        <v>341</v>
      </c>
      <c r="I8" s="464"/>
      <c r="J8" s="465"/>
    </row>
    <row r="9" spans="1:15" ht="12" customHeight="1" x14ac:dyDescent="0.2">
      <c r="A9" s="487"/>
      <c r="B9" s="488"/>
      <c r="C9" s="457"/>
      <c r="D9" s="439"/>
      <c r="E9" s="439"/>
      <c r="F9" s="439"/>
      <c r="G9" s="439"/>
      <c r="H9" s="439"/>
      <c r="I9" s="38" t="s">
        <v>96</v>
      </c>
      <c r="J9" s="39" t="s">
        <v>97</v>
      </c>
    </row>
    <row r="10" spans="1:15" ht="12" customHeight="1" x14ac:dyDescent="0.2">
      <c r="A10" s="180"/>
      <c r="B10" s="181"/>
      <c r="C10" s="458"/>
      <c r="D10" s="40">
        <v>1</v>
      </c>
      <c r="E10" s="40">
        <v>2</v>
      </c>
      <c r="F10" s="40">
        <v>3</v>
      </c>
      <c r="G10" s="40">
        <v>4</v>
      </c>
      <c r="H10" s="40">
        <v>5</v>
      </c>
      <c r="I10" s="40">
        <v>6</v>
      </c>
      <c r="J10" s="40">
        <v>7</v>
      </c>
      <c r="K10" s="41"/>
    </row>
    <row r="11" spans="1:15" s="119" customFormat="1" ht="25" customHeight="1" x14ac:dyDescent="0.2">
      <c r="A11" s="485" t="s">
        <v>98</v>
      </c>
      <c r="B11" s="486"/>
      <c r="C11" s="52">
        <v>100</v>
      </c>
      <c r="D11" s="54">
        <v>4680</v>
      </c>
      <c r="E11" s="53">
        <v>6125</v>
      </c>
      <c r="F11" s="53">
        <v>4479</v>
      </c>
      <c r="G11" s="53">
        <v>5644</v>
      </c>
      <c r="H11" s="79">
        <v>4546</v>
      </c>
      <c r="I11" s="54">
        <v>134</v>
      </c>
      <c r="J11" s="55">
        <v>2.9476462824461063</v>
      </c>
    </row>
    <row r="12" spans="1:15" ht="25" customHeight="1" x14ac:dyDescent="0.2">
      <c r="A12" s="120" t="s">
        <v>126</v>
      </c>
      <c r="B12" s="121" t="s">
        <v>127</v>
      </c>
      <c r="C12" s="52">
        <v>1.5384615384615385</v>
      </c>
      <c r="D12" s="54">
        <v>72</v>
      </c>
      <c r="E12" s="53">
        <v>108</v>
      </c>
      <c r="F12" s="53">
        <v>155</v>
      </c>
      <c r="G12" s="53">
        <v>116</v>
      </c>
      <c r="H12" s="79">
        <v>97</v>
      </c>
      <c r="I12" s="54">
        <v>-25</v>
      </c>
      <c r="J12" s="55">
        <v>-25.773195876288661</v>
      </c>
    </row>
    <row r="13" spans="1:15" ht="25" customHeight="1" x14ac:dyDescent="0.2">
      <c r="A13" s="120" t="s">
        <v>128</v>
      </c>
      <c r="B13" s="126" t="s">
        <v>210</v>
      </c>
      <c r="C13" s="52">
        <v>1.6239316239316239</v>
      </c>
      <c r="D13" s="54">
        <v>76</v>
      </c>
      <c r="E13" s="53">
        <v>102</v>
      </c>
      <c r="F13" s="53">
        <v>105</v>
      </c>
      <c r="G13" s="53">
        <v>88</v>
      </c>
      <c r="H13" s="79">
        <v>174</v>
      </c>
      <c r="I13" s="54">
        <v>-98</v>
      </c>
      <c r="J13" s="55">
        <v>-56.321839080459768</v>
      </c>
    </row>
    <row r="14" spans="1:15" s="140" customFormat="1" ht="25" customHeight="1" x14ac:dyDescent="0.2">
      <c r="A14" s="120" t="s">
        <v>211</v>
      </c>
      <c r="B14" s="126" t="s">
        <v>131</v>
      </c>
      <c r="C14" s="52">
        <v>21.816239316239315</v>
      </c>
      <c r="D14" s="54">
        <v>1021</v>
      </c>
      <c r="E14" s="53">
        <v>1179</v>
      </c>
      <c r="F14" s="53">
        <v>693</v>
      </c>
      <c r="G14" s="53">
        <v>969</v>
      </c>
      <c r="H14" s="79">
        <v>696</v>
      </c>
      <c r="I14" s="54">
        <v>325</v>
      </c>
      <c r="J14" s="55">
        <v>46.695402298850574</v>
      </c>
      <c r="K14" s="37"/>
      <c r="L14" s="37"/>
      <c r="M14" s="37"/>
      <c r="N14" s="37"/>
      <c r="O14" s="37"/>
    </row>
    <row r="15" spans="1:15" ht="25" customHeight="1" x14ac:dyDescent="0.2">
      <c r="A15" s="120" t="s">
        <v>212</v>
      </c>
      <c r="B15" s="126" t="s">
        <v>213</v>
      </c>
      <c r="C15" s="52">
        <v>9.9145299145299148</v>
      </c>
      <c r="D15" s="54">
        <v>464</v>
      </c>
      <c r="E15" s="53">
        <v>346</v>
      </c>
      <c r="F15" s="53">
        <v>282</v>
      </c>
      <c r="G15" s="53">
        <v>348</v>
      </c>
      <c r="H15" s="79">
        <v>314</v>
      </c>
      <c r="I15" s="54">
        <v>150</v>
      </c>
      <c r="J15" s="55">
        <v>47.770700636942678</v>
      </c>
    </row>
    <row r="16" spans="1:15" s="140" customFormat="1" ht="25" customHeight="1" x14ac:dyDescent="0.2">
      <c r="A16" s="120" t="s">
        <v>214</v>
      </c>
      <c r="B16" s="126" t="s">
        <v>135</v>
      </c>
      <c r="C16" s="52">
        <v>8.9743589743589745</v>
      </c>
      <c r="D16" s="54">
        <v>420</v>
      </c>
      <c r="E16" s="53">
        <v>626</v>
      </c>
      <c r="F16" s="53">
        <v>276</v>
      </c>
      <c r="G16" s="53">
        <v>362</v>
      </c>
      <c r="H16" s="79">
        <v>267</v>
      </c>
      <c r="I16" s="54">
        <v>153</v>
      </c>
      <c r="J16" s="55">
        <v>57.303370786516851</v>
      </c>
      <c r="K16" s="37"/>
      <c r="L16" s="37"/>
      <c r="M16" s="37"/>
      <c r="N16" s="37"/>
      <c r="O16" s="37"/>
    </row>
    <row r="17" spans="1:15" ht="25" customHeight="1" x14ac:dyDescent="0.2">
      <c r="A17" s="120" t="s">
        <v>136</v>
      </c>
      <c r="B17" s="126" t="s">
        <v>216</v>
      </c>
      <c r="C17" s="52">
        <v>2.9273504273504272</v>
      </c>
      <c r="D17" s="54">
        <v>137</v>
      </c>
      <c r="E17" s="53">
        <v>207</v>
      </c>
      <c r="F17" s="53">
        <v>135</v>
      </c>
      <c r="G17" s="53">
        <v>259</v>
      </c>
      <c r="H17" s="79">
        <v>115</v>
      </c>
      <c r="I17" s="54">
        <v>22</v>
      </c>
      <c r="J17" s="55">
        <v>19.130434782608695</v>
      </c>
    </row>
    <row r="18" spans="1:15" s="140" customFormat="1" ht="25" customHeight="1" x14ac:dyDescent="0.2">
      <c r="A18" s="128" t="s">
        <v>138</v>
      </c>
      <c r="B18" s="129" t="s">
        <v>139</v>
      </c>
      <c r="C18" s="52">
        <v>6.3034188034188032</v>
      </c>
      <c r="D18" s="54">
        <v>295</v>
      </c>
      <c r="E18" s="53">
        <v>480</v>
      </c>
      <c r="F18" s="53">
        <v>306</v>
      </c>
      <c r="G18" s="53">
        <v>357</v>
      </c>
      <c r="H18" s="79">
        <v>280</v>
      </c>
      <c r="I18" s="54">
        <v>15</v>
      </c>
      <c r="J18" s="55">
        <v>5.3571428571428568</v>
      </c>
      <c r="K18" s="37"/>
      <c r="L18" s="37"/>
      <c r="M18" s="37"/>
      <c r="N18" s="37"/>
      <c r="O18" s="37"/>
    </row>
    <row r="19" spans="1:15" ht="25" customHeight="1" x14ac:dyDescent="0.2">
      <c r="A19" s="120" t="s">
        <v>140</v>
      </c>
      <c r="B19" s="126" t="s">
        <v>141</v>
      </c>
      <c r="C19" s="52">
        <v>13.119658119658119</v>
      </c>
      <c r="D19" s="54">
        <v>614</v>
      </c>
      <c r="E19" s="53">
        <v>725</v>
      </c>
      <c r="F19" s="53">
        <v>556</v>
      </c>
      <c r="G19" s="53">
        <v>668</v>
      </c>
      <c r="H19" s="79">
        <v>555</v>
      </c>
      <c r="I19" s="54">
        <v>59</v>
      </c>
      <c r="J19" s="55">
        <v>10.63063063063063</v>
      </c>
    </row>
    <row r="20" spans="1:15" s="140" customFormat="1" ht="25" customHeight="1" x14ac:dyDescent="0.2">
      <c r="A20" s="120" t="s">
        <v>142</v>
      </c>
      <c r="B20" s="126" t="s">
        <v>143</v>
      </c>
      <c r="C20" s="52">
        <v>4.4871794871794872</v>
      </c>
      <c r="D20" s="54">
        <v>210</v>
      </c>
      <c r="E20" s="53">
        <v>291</v>
      </c>
      <c r="F20" s="53">
        <v>235</v>
      </c>
      <c r="G20" s="53">
        <v>288</v>
      </c>
      <c r="H20" s="79">
        <v>231</v>
      </c>
      <c r="I20" s="54">
        <v>-21</v>
      </c>
      <c r="J20" s="55">
        <v>-9.0909090909090917</v>
      </c>
      <c r="K20" s="37"/>
      <c r="L20" s="37"/>
      <c r="M20" s="37"/>
      <c r="N20" s="37"/>
      <c r="O20" s="37"/>
    </row>
    <row r="21" spans="1:15" ht="25" customHeight="1" x14ac:dyDescent="0.2">
      <c r="A21" s="128" t="s">
        <v>144</v>
      </c>
      <c r="B21" s="129" t="s">
        <v>145</v>
      </c>
      <c r="C21" s="52">
        <v>6.5811965811965809</v>
      </c>
      <c r="D21" s="54">
        <v>308</v>
      </c>
      <c r="E21" s="53">
        <v>440</v>
      </c>
      <c r="F21" s="53">
        <v>346</v>
      </c>
      <c r="G21" s="53">
        <v>316</v>
      </c>
      <c r="H21" s="79">
        <v>227</v>
      </c>
      <c r="I21" s="54">
        <v>81</v>
      </c>
      <c r="J21" s="55">
        <v>35.682819383259911</v>
      </c>
    </row>
    <row r="22" spans="1:15" ht="25" customHeight="1" x14ac:dyDescent="0.2">
      <c r="A22" s="128" t="s">
        <v>146</v>
      </c>
      <c r="B22" s="126" t="s">
        <v>147</v>
      </c>
      <c r="C22" s="52">
        <v>0.94017094017094016</v>
      </c>
      <c r="D22" s="54">
        <v>44</v>
      </c>
      <c r="E22" s="53">
        <v>78</v>
      </c>
      <c r="F22" s="53">
        <v>46</v>
      </c>
      <c r="G22" s="53">
        <v>52</v>
      </c>
      <c r="H22" s="79">
        <v>37</v>
      </c>
      <c r="I22" s="54">
        <v>7</v>
      </c>
      <c r="J22" s="55">
        <v>18.918918918918919</v>
      </c>
    </row>
    <row r="23" spans="1:15" ht="25" customHeight="1" x14ac:dyDescent="0.2">
      <c r="A23" s="120" t="s">
        <v>148</v>
      </c>
      <c r="B23" s="126" t="s">
        <v>149</v>
      </c>
      <c r="C23" s="52">
        <v>0.72649572649572647</v>
      </c>
      <c r="D23" s="54">
        <v>34</v>
      </c>
      <c r="E23" s="53">
        <v>47</v>
      </c>
      <c r="F23" s="53">
        <v>39</v>
      </c>
      <c r="G23" s="53">
        <v>40</v>
      </c>
      <c r="H23" s="79">
        <v>41</v>
      </c>
      <c r="I23" s="54">
        <v>-7</v>
      </c>
      <c r="J23" s="55">
        <v>-17.073170731707318</v>
      </c>
    </row>
    <row r="24" spans="1:15" ht="25" customHeight="1" x14ac:dyDescent="0.2">
      <c r="A24" s="120" t="s">
        <v>150</v>
      </c>
      <c r="B24" s="126" t="s">
        <v>217</v>
      </c>
      <c r="C24" s="52">
        <v>3.7606837606837606</v>
      </c>
      <c r="D24" s="54">
        <v>176</v>
      </c>
      <c r="E24" s="53">
        <v>325</v>
      </c>
      <c r="F24" s="53">
        <v>247</v>
      </c>
      <c r="G24" s="53">
        <v>300</v>
      </c>
      <c r="H24" s="79">
        <v>225</v>
      </c>
      <c r="I24" s="54">
        <v>-49</v>
      </c>
      <c r="J24" s="55">
        <v>-21.777777777777779</v>
      </c>
    </row>
    <row r="25" spans="1:15" ht="25" customHeight="1" x14ac:dyDescent="0.2">
      <c r="A25" s="120" t="s">
        <v>152</v>
      </c>
      <c r="B25" s="131" t="s">
        <v>153</v>
      </c>
      <c r="C25" s="52">
        <v>10.363247863247864</v>
      </c>
      <c r="D25" s="54">
        <v>485</v>
      </c>
      <c r="E25" s="53">
        <v>628</v>
      </c>
      <c r="F25" s="53">
        <v>569</v>
      </c>
      <c r="G25" s="53">
        <v>573</v>
      </c>
      <c r="H25" s="79">
        <v>440</v>
      </c>
      <c r="I25" s="54">
        <v>45</v>
      </c>
      <c r="J25" s="55">
        <v>10.227272727272727</v>
      </c>
    </row>
    <row r="26" spans="1:15" ht="25" customHeight="1" x14ac:dyDescent="0.2">
      <c r="A26" s="120" t="s">
        <v>219</v>
      </c>
      <c r="B26" s="131" t="s">
        <v>155</v>
      </c>
      <c r="C26" s="52">
        <v>5.4487179487179489</v>
      </c>
      <c r="D26" s="54">
        <v>255</v>
      </c>
      <c r="E26" s="53">
        <v>384</v>
      </c>
      <c r="F26" s="53">
        <v>282</v>
      </c>
      <c r="G26" s="53">
        <v>338</v>
      </c>
      <c r="H26" s="79">
        <v>230</v>
      </c>
      <c r="I26" s="54">
        <v>25</v>
      </c>
      <c r="J26" s="55">
        <v>10.869565217391305</v>
      </c>
    </row>
    <row r="27" spans="1:15" ht="25" customHeight="1" x14ac:dyDescent="0.2">
      <c r="A27" s="128">
        <v>782.78300000000002</v>
      </c>
      <c r="B27" s="130" t="s">
        <v>156</v>
      </c>
      <c r="C27" s="52">
        <v>4.9145299145299148</v>
      </c>
      <c r="D27" s="54">
        <v>230</v>
      </c>
      <c r="E27" s="53">
        <v>244</v>
      </c>
      <c r="F27" s="53">
        <v>287</v>
      </c>
      <c r="G27" s="53">
        <v>235</v>
      </c>
      <c r="H27" s="79">
        <v>210</v>
      </c>
      <c r="I27" s="54">
        <v>20</v>
      </c>
      <c r="J27" s="55">
        <v>9.5238095238095237</v>
      </c>
    </row>
    <row r="28" spans="1:15" ht="25" customHeight="1" x14ac:dyDescent="0.2">
      <c r="A28" s="120" t="s">
        <v>157</v>
      </c>
      <c r="B28" s="126" t="s">
        <v>158</v>
      </c>
      <c r="C28" s="52">
        <v>2.7777777777777777</v>
      </c>
      <c r="D28" s="54">
        <v>130</v>
      </c>
      <c r="E28" s="53">
        <v>269</v>
      </c>
      <c r="F28" s="53">
        <v>129</v>
      </c>
      <c r="G28" s="53">
        <v>243</v>
      </c>
      <c r="H28" s="79">
        <v>157</v>
      </c>
      <c r="I28" s="54">
        <v>-27</v>
      </c>
      <c r="J28" s="55">
        <v>-17.197452229299362</v>
      </c>
    </row>
    <row r="29" spans="1:15" ht="25" customHeight="1" x14ac:dyDescent="0.2">
      <c r="A29" s="120" t="s">
        <v>159</v>
      </c>
      <c r="B29" s="126" t="s">
        <v>160</v>
      </c>
      <c r="C29" s="52">
        <v>4.0598290598290596</v>
      </c>
      <c r="D29" s="54">
        <v>190</v>
      </c>
      <c r="E29" s="53">
        <v>210</v>
      </c>
      <c r="F29" s="53">
        <v>90</v>
      </c>
      <c r="G29" s="53">
        <v>283</v>
      </c>
      <c r="H29" s="79">
        <v>120</v>
      </c>
      <c r="I29" s="54">
        <v>70</v>
      </c>
      <c r="J29" s="55">
        <v>58.333333333333336</v>
      </c>
    </row>
    <row r="30" spans="1:15" ht="25" customHeight="1" x14ac:dyDescent="0.2">
      <c r="A30" s="120">
        <v>86</v>
      </c>
      <c r="B30" s="126" t="s">
        <v>161</v>
      </c>
      <c r="C30" s="52">
        <v>6.517094017094017</v>
      </c>
      <c r="D30" s="54">
        <v>305</v>
      </c>
      <c r="E30" s="53">
        <v>356</v>
      </c>
      <c r="F30" s="53">
        <v>221</v>
      </c>
      <c r="G30" s="53">
        <v>421</v>
      </c>
      <c r="H30" s="79">
        <v>258</v>
      </c>
      <c r="I30" s="54">
        <v>47</v>
      </c>
      <c r="J30" s="55">
        <v>18.217054263565892</v>
      </c>
    </row>
    <row r="31" spans="1:15" ht="25" customHeight="1" x14ac:dyDescent="0.2">
      <c r="A31" s="120">
        <v>87.88</v>
      </c>
      <c r="B31" s="131" t="s">
        <v>162</v>
      </c>
      <c r="C31" s="52">
        <v>10.192307692307692</v>
      </c>
      <c r="D31" s="54">
        <v>477</v>
      </c>
      <c r="E31" s="53">
        <v>553</v>
      </c>
      <c r="F31" s="53">
        <v>454</v>
      </c>
      <c r="G31" s="53">
        <v>617</v>
      </c>
      <c r="H31" s="79">
        <v>692</v>
      </c>
      <c r="I31" s="54">
        <v>-215</v>
      </c>
      <c r="J31" s="55">
        <v>-31.069364161849713</v>
      </c>
    </row>
    <row r="32" spans="1:15" ht="25" customHeight="1" x14ac:dyDescent="0.2">
      <c r="A32" s="120" t="s">
        <v>163</v>
      </c>
      <c r="B32" s="126" t="s">
        <v>164</v>
      </c>
      <c r="C32" s="52">
        <v>5.1923076923076925</v>
      </c>
      <c r="D32" s="54">
        <v>243</v>
      </c>
      <c r="E32" s="53">
        <v>334</v>
      </c>
      <c r="F32" s="53">
        <v>288</v>
      </c>
      <c r="G32" s="53">
        <v>313</v>
      </c>
      <c r="H32" s="79">
        <v>316</v>
      </c>
      <c r="I32" s="54">
        <v>-73</v>
      </c>
      <c r="J32" s="55">
        <v>-23.101265822784811</v>
      </c>
    </row>
    <row r="33" spans="1:10" ht="25" customHeight="1" x14ac:dyDescent="0.2">
      <c r="A33" s="120"/>
      <c r="B33" s="131" t="s">
        <v>165</v>
      </c>
      <c r="C33" s="52">
        <v>0</v>
      </c>
      <c r="D33" s="54">
        <v>0</v>
      </c>
      <c r="E33" s="53">
        <v>0</v>
      </c>
      <c r="F33" s="53">
        <v>0</v>
      </c>
      <c r="G33" s="53">
        <v>0</v>
      </c>
      <c r="H33" s="79">
        <v>0</v>
      </c>
      <c r="I33" s="54">
        <v>0</v>
      </c>
      <c r="J33" s="55">
        <v>0</v>
      </c>
    </row>
    <row r="34" spans="1:10" ht="25" customHeight="1" x14ac:dyDescent="0.2">
      <c r="A34" s="132" t="s">
        <v>166</v>
      </c>
      <c r="B34" s="133"/>
      <c r="C34" s="183"/>
      <c r="D34" s="54"/>
      <c r="E34" s="53"/>
      <c r="F34" s="53"/>
      <c r="G34" s="53"/>
      <c r="H34" s="79"/>
      <c r="I34" s="76"/>
      <c r="J34" s="77"/>
    </row>
    <row r="35" spans="1:10" ht="25" customHeight="1" x14ac:dyDescent="0.2">
      <c r="A35" s="184" t="s">
        <v>126</v>
      </c>
      <c r="B35" s="185" t="s">
        <v>127</v>
      </c>
      <c r="C35" s="52">
        <v>1.5384615384615385</v>
      </c>
      <c r="D35" s="54">
        <v>72</v>
      </c>
      <c r="E35" s="53">
        <v>108</v>
      </c>
      <c r="F35" s="53">
        <v>155</v>
      </c>
      <c r="G35" s="53">
        <v>116</v>
      </c>
      <c r="H35" s="79">
        <v>97</v>
      </c>
      <c r="I35" s="54">
        <v>-25</v>
      </c>
      <c r="J35" s="55">
        <v>-25.773195876288661</v>
      </c>
    </row>
    <row r="36" spans="1:10" ht="25" customHeight="1" x14ac:dyDescent="0.2">
      <c r="A36" s="186" t="s">
        <v>167</v>
      </c>
      <c r="B36" s="187" t="s">
        <v>168</v>
      </c>
      <c r="C36" s="52">
        <v>29.743589743589745</v>
      </c>
      <c r="D36" s="54">
        <v>1392</v>
      </c>
      <c r="E36" s="53">
        <v>1761</v>
      </c>
      <c r="F36" s="53">
        <v>1104</v>
      </c>
      <c r="G36" s="53">
        <v>1414</v>
      </c>
      <c r="H36" s="79">
        <v>1150</v>
      </c>
      <c r="I36" s="54">
        <v>242</v>
      </c>
      <c r="J36" s="55">
        <v>21.043478260869566</v>
      </c>
    </row>
    <row r="37" spans="1:10" ht="25" customHeight="1" x14ac:dyDescent="0.2">
      <c r="A37" s="188" t="s">
        <v>169</v>
      </c>
      <c r="B37" s="189" t="s">
        <v>170</v>
      </c>
      <c r="C37" s="64">
        <v>68.717948717948715</v>
      </c>
      <c r="D37" s="82">
        <v>3216</v>
      </c>
      <c r="E37" s="83">
        <v>4256</v>
      </c>
      <c r="F37" s="83">
        <v>3220</v>
      </c>
      <c r="G37" s="83">
        <v>4114</v>
      </c>
      <c r="H37" s="84">
        <v>3299</v>
      </c>
      <c r="I37" s="82">
        <v>-83</v>
      </c>
      <c r="J37" s="85">
        <v>-2.5159139133070627</v>
      </c>
    </row>
    <row r="38" spans="1:10" s="87" customFormat="1" ht="11.25" customHeight="1" x14ac:dyDescent="0.2">
      <c r="A38" s="232"/>
      <c r="J38" s="88" t="s">
        <v>37</v>
      </c>
    </row>
    <row r="39" spans="1:10" s="87" customFormat="1" ht="12.75" customHeight="1" x14ac:dyDescent="0.2">
      <c r="A39" s="87" t="s">
        <v>116</v>
      </c>
    </row>
    <row r="40" spans="1:10" s="60" customFormat="1" ht="21" customHeight="1" x14ac:dyDescent="0.2">
      <c r="A40" s="512" t="s">
        <v>371</v>
      </c>
      <c r="B40" s="489"/>
      <c r="C40" s="489"/>
      <c r="D40" s="489"/>
      <c r="E40" s="489"/>
      <c r="F40" s="489"/>
      <c r="G40" s="489"/>
      <c r="H40" s="489"/>
      <c r="I40" s="489"/>
      <c r="J40" s="489"/>
    </row>
    <row r="41" spans="1:10" s="60" customFormat="1" ht="30.65" customHeight="1" x14ac:dyDescent="0.2">
      <c r="A41" s="440" t="s">
        <v>221</v>
      </c>
      <c r="B41" s="440"/>
      <c r="C41" s="440"/>
      <c r="D41" s="440"/>
      <c r="E41" s="440"/>
      <c r="F41" s="440"/>
      <c r="G41" s="440"/>
      <c r="H41" s="440"/>
      <c r="I41" s="440"/>
      <c r="J41" s="440"/>
    </row>
    <row r="42" spans="1:10" s="60" customFormat="1" ht="12.75" customHeight="1" x14ac:dyDescent="0.2"/>
    <row r="43" spans="1:10" s="60" customFormat="1" ht="12.75" customHeight="1" x14ac:dyDescent="0.2"/>
    <row r="44" spans="1:10" ht="12.75" customHeight="1" x14ac:dyDescent="0.2">
      <c r="C44" s="37"/>
      <c r="D44" s="37"/>
      <c r="E44" s="37"/>
      <c r="F44" s="37"/>
      <c r="G44" s="37"/>
      <c r="H44" s="37"/>
      <c r="I44" s="37"/>
      <c r="J44" s="37"/>
    </row>
    <row r="45" spans="1:10" ht="16" customHeight="1" x14ac:dyDescent="0.2">
      <c r="C45" s="37"/>
      <c r="D45" s="37"/>
      <c r="E45" s="37"/>
      <c r="F45" s="37"/>
      <c r="G45" s="37"/>
      <c r="H45" s="37"/>
      <c r="I45" s="37"/>
      <c r="J45" s="37"/>
    </row>
    <row r="46" spans="1:10" ht="16" customHeight="1" x14ac:dyDescent="0.2">
      <c r="C46" s="37"/>
      <c r="D46" s="37"/>
      <c r="E46" s="37"/>
      <c r="F46" s="37"/>
      <c r="G46" s="37"/>
      <c r="H46" s="37"/>
      <c r="I46" s="37"/>
      <c r="J46" s="37"/>
    </row>
    <row r="47" spans="1:10" ht="16" customHeight="1" x14ac:dyDescent="0.2">
      <c r="C47" s="37"/>
      <c r="D47" s="37"/>
      <c r="E47" s="37"/>
      <c r="F47" s="37"/>
      <c r="G47" s="37"/>
      <c r="H47" s="37"/>
      <c r="I47" s="37"/>
      <c r="J47" s="37"/>
    </row>
    <row r="48" spans="1:10" ht="16" customHeight="1" x14ac:dyDescent="0.2">
      <c r="C48" s="37"/>
      <c r="D48" s="37"/>
      <c r="E48" s="37"/>
      <c r="F48" s="37"/>
      <c r="G48" s="37"/>
      <c r="H48" s="37"/>
      <c r="I48" s="37"/>
      <c r="J48" s="37"/>
    </row>
    <row r="49" s="37" customFormat="1" ht="16" customHeight="1" x14ac:dyDescent="0.2"/>
    <row r="50" s="37" customFormat="1" ht="16" customHeight="1" x14ac:dyDescent="0.2"/>
    <row r="51" s="37" customFormat="1" ht="16" customHeight="1" x14ac:dyDescent="0.2"/>
    <row r="52" s="37" customFormat="1" ht="16" customHeight="1" x14ac:dyDescent="0.2"/>
    <row r="53" s="37" customFormat="1" ht="16" customHeight="1" x14ac:dyDescent="0.2"/>
    <row r="54" s="37" customFormat="1" ht="16" customHeight="1" x14ac:dyDescent="0.2"/>
    <row r="55" s="37" customFormat="1" ht="16" customHeight="1" x14ac:dyDescent="0.2"/>
    <row r="56" s="37" customFormat="1" ht="16" customHeight="1" x14ac:dyDescent="0.2"/>
    <row r="57" s="37" customFormat="1" ht="16" customHeight="1" x14ac:dyDescent="0.2"/>
    <row r="58" s="37" customFormat="1" ht="16" customHeight="1" x14ac:dyDescent="0.2"/>
    <row r="59" s="37" customFormat="1" ht="16" customHeight="1" x14ac:dyDescent="0.2"/>
    <row r="60" s="37" customFormat="1" ht="16" customHeight="1" x14ac:dyDescent="0.2"/>
    <row r="61" s="37" customFormat="1" ht="16" customHeight="1" x14ac:dyDescent="0.2"/>
    <row r="62" s="37" customFormat="1" ht="16" customHeight="1" x14ac:dyDescent="0.2"/>
    <row r="63" s="37" customFormat="1" ht="16" customHeight="1" x14ac:dyDescent="0.2"/>
    <row r="64" s="37" customFormat="1" ht="16" customHeight="1" x14ac:dyDescent="0.2"/>
    <row r="65" s="37" customFormat="1" ht="16" customHeight="1" x14ac:dyDescent="0.2"/>
    <row r="66" s="37" customFormat="1" ht="16" customHeight="1" x14ac:dyDescent="0.2"/>
    <row r="67" s="37" customFormat="1" ht="16" customHeight="1" x14ac:dyDescent="0.2"/>
    <row r="68" s="37" customFormat="1" ht="16" customHeight="1" x14ac:dyDescent="0.2"/>
    <row r="69" s="37" customFormat="1" ht="16" customHeight="1" x14ac:dyDescent="0.2"/>
    <row r="70" s="37" customFormat="1" ht="16" customHeight="1" x14ac:dyDescent="0.2"/>
    <row r="71" s="37" customFormat="1" ht="16" customHeight="1" x14ac:dyDescent="0.2"/>
    <row r="72" s="37" customFormat="1" ht="16" customHeight="1" x14ac:dyDescent="0.2"/>
    <row r="73" s="37" customFormat="1" ht="16" customHeight="1" x14ac:dyDescent="0.2"/>
    <row r="74" s="37" customFormat="1" ht="16" customHeight="1" x14ac:dyDescent="0.2"/>
    <row r="75" s="37" customFormat="1" ht="16" customHeight="1" x14ac:dyDescent="0.2"/>
    <row r="76" s="37" customFormat="1" ht="16" customHeight="1" x14ac:dyDescent="0.2"/>
    <row r="77" s="37" customFormat="1" ht="16" customHeight="1" x14ac:dyDescent="0.2"/>
    <row r="78" s="37" customFormat="1" ht="16" customHeight="1" x14ac:dyDescent="0.2"/>
    <row r="79" s="37" customFormat="1" ht="16" customHeight="1" x14ac:dyDescent="0.2"/>
    <row r="80" s="37" customFormat="1" ht="16" customHeight="1" x14ac:dyDescent="0.2"/>
    <row r="81" spans="1:1" s="37" customFormat="1" ht="16" customHeight="1" x14ac:dyDescent="0.2"/>
    <row r="82" spans="1:1" s="37" customFormat="1" ht="16" customHeight="1" x14ac:dyDescent="0.2"/>
    <row r="83" spans="1:1" s="37" customFormat="1" ht="16" customHeight="1" x14ac:dyDescent="0.2"/>
    <row r="84" spans="1:1" s="37" customFormat="1" ht="16" customHeight="1" x14ac:dyDescent="0.2"/>
    <row r="85" spans="1:1" s="37" customFormat="1" ht="16" customHeight="1" x14ac:dyDescent="0.2"/>
    <row r="86" spans="1:1" s="37" customFormat="1" ht="16" customHeight="1" x14ac:dyDescent="0.2"/>
    <row r="87" spans="1:1" s="37" customFormat="1" ht="16" customHeight="1" x14ac:dyDescent="0.2"/>
    <row r="88" spans="1:1" s="37" customFormat="1" ht="16" customHeight="1" x14ac:dyDescent="0.2">
      <c r="A88" s="299"/>
    </row>
    <row r="89" spans="1:1" s="37" customFormat="1" ht="16" customHeight="1" x14ac:dyDescent="0.2"/>
    <row r="90" spans="1:1" s="37" customFormat="1" ht="16" customHeight="1" x14ac:dyDescent="0.2"/>
    <row r="91" spans="1:1" s="37" customFormat="1" ht="16" customHeight="1" x14ac:dyDescent="0.2"/>
    <row r="92" spans="1:1" s="37" customFormat="1" ht="16" customHeight="1" x14ac:dyDescent="0.2"/>
    <row r="93" spans="1:1" s="37" customFormat="1" ht="16" customHeight="1" x14ac:dyDescent="0.2"/>
    <row r="94" spans="1:1" s="37" customFormat="1" ht="16" customHeight="1" x14ac:dyDescent="0.2"/>
    <row r="95" spans="1:1" s="37" customFormat="1" ht="16" customHeight="1" x14ac:dyDescent="0.2"/>
    <row r="96" spans="1:1" s="37" customFormat="1" ht="16" customHeight="1" x14ac:dyDescent="0.2"/>
    <row r="97" s="37" customFormat="1" ht="16" customHeight="1" x14ac:dyDescent="0.2"/>
    <row r="98" s="37" customFormat="1" ht="16" customHeight="1" x14ac:dyDescent="0.2"/>
    <row r="99" s="37" customFormat="1" ht="16" customHeight="1" x14ac:dyDescent="0.2"/>
    <row r="100" s="37" customFormat="1" ht="16" customHeight="1" x14ac:dyDescent="0.2"/>
    <row r="101" s="37" customFormat="1" ht="16" customHeight="1" x14ac:dyDescent="0.2"/>
    <row r="102" s="37" customFormat="1" ht="16" customHeight="1" x14ac:dyDescent="0.2"/>
    <row r="103" s="37" customFormat="1" ht="16" customHeight="1" x14ac:dyDescent="0.2"/>
    <row r="104" s="37" customFormat="1" ht="16" customHeight="1" x14ac:dyDescent="0.2"/>
    <row r="105" s="37" customFormat="1" ht="16" customHeight="1" x14ac:dyDescent="0.2"/>
    <row r="106" s="37" customFormat="1" ht="16" customHeight="1" x14ac:dyDescent="0.2"/>
    <row r="107" s="37" customFormat="1" ht="16" customHeight="1" x14ac:dyDescent="0.2"/>
    <row r="108" s="37" customFormat="1" ht="16" customHeight="1" x14ac:dyDescent="0.2"/>
    <row r="109" s="37" customFormat="1" ht="16" customHeight="1" x14ac:dyDescent="0.2"/>
    <row r="110" s="37" customFormat="1" ht="16" customHeight="1" x14ac:dyDescent="0.2"/>
    <row r="111" s="37" customFormat="1" ht="16" customHeight="1" x14ac:dyDescent="0.2"/>
    <row r="112" s="37" customFormat="1" ht="16" customHeight="1" x14ac:dyDescent="0.2"/>
    <row r="113" s="37" customFormat="1" ht="16" customHeight="1" x14ac:dyDescent="0.2"/>
    <row r="114" s="37" customFormat="1" ht="16" customHeight="1" x14ac:dyDescent="0.2"/>
    <row r="115" s="37" customFormat="1" ht="16" customHeight="1" x14ac:dyDescent="0.2"/>
    <row r="116" s="37" customFormat="1" ht="16" customHeight="1" x14ac:dyDescent="0.2"/>
    <row r="117" s="37" customFormat="1" ht="16" customHeight="1" x14ac:dyDescent="0.2"/>
    <row r="118" s="37" customFormat="1" ht="16" customHeight="1" x14ac:dyDescent="0.2"/>
    <row r="119" s="37" customFormat="1" ht="16" customHeight="1" x14ac:dyDescent="0.2"/>
    <row r="120" s="37" customFormat="1" ht="16" customHeight="1" x14ac:dyDescent="0.2"/>
    <row r="121" s="37" customFormat="1" ht="16" customHeight="1" x14ac:dyDescent="0.2"/>
    <row r="122" s="37" customFormat="1" ht="16" customHeight="1" x14ac:dyDescent="0.2"/>
    <row r="123" s="37" customFormat="1" ht="16" customHeight="1" x14ac:dyDescent="0.2"/>
    <row r="124" s="37" customFormat="1" ht="16" customHeight="1" x14ac:dyDescent="0.2"/>
    <row r="125" s="37" customFormat="1" ht="16" customHeight="1" x14ac:dyDescent="0.2"/>
    <row r="126" s="37" customFormat="1" ht="16" customHeight="1" x14ac:dyDescent="0.2"/>
    <row r="127" s="37" customFormat="1" ht="16" customHeight="1" x14ac:dyDescent="0.2"/>
    <row r="128" s="37" customFormat="1" ht="16" customHeight="1" x14ac:dyDescent="0.2"/>
    <row r="129" s="37" customFormat="1" ht="16" customHeight="1" x14ac:dyDescent="0.2"/>
    <row r="130" s="37" customFormat="1" ht="16" customHeight="1" x14ac:dyDescent="0.2"/>
    <row r="131" s="37" customFormat="1" ht="16" customHeight="1" x14ac:dyDescent="0.2"/>
    <row r="132" s="37" customFormat="1" ht="16" customHeight="1" x14ac:dyDescent="0.2"/>
    <row r="133" s="37" customFormat="1" ht="16" customHeight="1" x14ac:dyDescent="0.2"/>
    <row r="134" s="37" customFormat="1" ht="16" customHeight="1" x14ac:dyDescent="0.2"/>
    <row r="135" s="37" customFormat="1" ht="16" customHeight="1" x14ac:dyDescent="0.2"/>
    <row r="136" s="37" customFormat="1" ht="16" customHeight="1" x14ac:dyDescent="0.2"/>
    <row r="137" s="37" customFormat="1" ht="16" customHeight="1" x14ac:dyDescent="0.2"/>
    <row r="138" s="37" customFormat="1" ht="16" customHeight="1" x14ac:dyDescent="0.2"/>
    <row r="139" s="37" customFormat="1" ht="16" customHeight="1" x14ac:dyDescent="0.2"/>
    <row r="140" s="37" customFormat="1" ht="16" customHeight="1" x14ac:dyDescent="0.2"/>
    <row r="141" s="37" customFormat="1" ht="16" customHeight="1" x14ac:dyDescent="0.2"/>
    <row r="142" s="37" customFormat="1" ht="16" customHeight="1" x14ac:dyDescent="0.2"/>
    <row r="143" s="37" customFormat="1" ht="16" customHeight="1" x14ac:dyDescent="0.2"/>
    <row r="144" s="37" customFormat="1" ht="16" customHeight="1" x14ac:dyDescent="0.2"/>
    <row r="145" s="37" customFormat="1" ht="16" customHeight="1" x14ac:dyDescent="0.2"/>
    <row r="146" s="37" customFormat="1" ht="16" customHeight="1" x14ac:dyDescent="0.2"/>
    <row r="147" s="37" customFormat="1" ht="16" customHeight="1" x14ac:dyDescent="0.2"/>
    <row r="148" s="37" customFormat="1" ht="16" customHeight="1" x14ac:dyDescent="0.2"/>
    <row r="149" s="37" customFormat="1" ht="16" customHeight="1" x14ac:dyDescent="0.2"/>
    <row r="150" s="37" customFormat="1" ht="16" customHeight="1" x14ac:dyDescent="0.2"/>
    <row r="151" s="37" customFormat="1" ht="16" customHeight="1" x14ac:dyDescent="0.2"/>
    <row r="152" s="37" customFormat="1" ht="16" customHeight="1" x14ac:dyDescent="0.2"/>
    <row r="153" s="37" customFormat="1" ht="16" customHeight="1" x14ac:dyDescent="0.2"/>
    <row r="154" s="37" customFormat="1" ht="16" customHeight="1" x14ac:dyDescent="0.2"/>
    <row r="155" s="37" customFormat="1" ht="16" customHeight="1" x14ac:dyDescent="0.2"/>
    <row r="156" s="37" customFormat="1" ht="16" customHeight="1" x14ac:dyDescent="0.2"/>
    <row r="157" s="37" customFormat="1" ht="16" customHeight="1" x14ac:dyDescent="0.2"/>
    <row r="158" s="37" customFormat="1" ht="16" customHeight="1" x14ac:dyDescent="0.2"/>
    <row r="159" s="37" customFormat="1" ht="16" customHeight="1" x14ac:dyDescent="0.2"/>
    <row r="160" s="37" customFormat="1" ht="16" customHeight="1" x14ac:dyDescent="0.2"/>
    <row r="161" s="37" customFormat="1" ht="16" customHeight="1" x14ac:dyDescent="0.2"/>
    <row r="162" s="37" customFormat="1" ht="16" customHeight="1" x14ac:dyDescent="0.2"/>
    <row r="163" s="37" customFormat="1" ht="16" customHeight="1" x14ac:dyDescent="0.2"/>
    <row r="164" s="37" customFormat="1" ht="16" customHeight="1" x14ac:dyDescent="0.2"/>
    <row r="165" s="37" customFormat="1" ht="16" customHeight="1" x14ac:dyDescent="0.2"/>
    <row r="166" s="37" customFormat="1" ht="16" customHeight="1" x14ac:dyDescent="0.2"/>
    <row r="167" s="37" customFormat="1" ht="16" customHeight="1" x14ac:dyDescent="0.2"/>
    <row r="168" s="37" customFormat="1" ht="16" customHeight="1" x14ac:dyDescent="0.2"/>
    <row r="169" s="37" customFormat="1" ht="16" customHeight="1" x14ac:dyDescent="0.2"/>
    <row r="170" s="37" customFormat="1" ht="16" customHeight="1" x14ac:dyDescent="0.2"/>
    <row r="171" s="37" customFormat="1" ht="16" customHeight="1" x14ac:dyDescent="0.2"/>
    <row r="172" s="37" customFormat="1" ht="16" customHeight="1" x14ac:dyDescent="0.2"/>
    <row r="173" s="37" customFormat="1" ht="16" customHeight="1" x14ac:dyDescent="0.2"/>
    <row r="174" s="37" customFormat="1" ht="16" customHeight="1" x14ac:dyDescent="0.2"/>
    <row r="175" s="37" customFormat="1" ht="16" customHeight="1" x14ac:dyDescent="0.2"/>
    <row r="176" s="37" customFormat="1" ht="16" customHeight="1" x14ac:dyDescent="0.2"/>
    <row r="177" s="37" customFormat="1" ht="16" customHeight="1" x14ac:dyDescent="0.2"/>
    <row r="178" s="37" customFormat="1" ht="16" customHeight="1" x14ac:dyDescent="0.2"/>
    <row r="179" s="37" customFormat="1" ht="16" customHeight="1" x14ac:dyDescent="0.2"/>
    <row r="180" s="37" customFormat="1" ht="16" customHeight="1" x14ac:dyDescent="0.2"/>
    <row r="181" s="37" customFormat="1" ht="16" customHeight="1" x14ac:dyDescent="0.2"/>
    <row r="182" s="37" customFormat="1" ht="16" customHeight="1" x14ac:dyDescent="0.2"/>
    <row r="183" s="37" customFormat="1" ht="16" customHeight="1" x14ac:dyDescent="0.2"/>
    <row r="184" s="37" customFormat="1" ht="16" customHeight="1" x14ac:dyDescent="0.2"/>
    <row r="185" s="37" customFormat="1" ht="16" customHeight="1" x14ac:dyDescent="0.2"/>
    <row r="186" s="37" customFormat="1" ht="16" customHeight="1" x14ac:dyDescent="0.2"/>
    <row r="187" s="37" customFormat="1" ht="16" customHeight="1" x14ac:dyDescent="0.2"/>
    <row r="188" s="37" customFormat="1" ht="16" customHeight="1" x14ac:dyDescent="0.2"/>
    <row r="189" s="37" customFormat="1" ht="16" customHeight="1" x14ac:dyDescent="0.2"/>
    <row r="190" s="37" customFormat="1" ht="16" customHeight="1" x14ac:dyDescent="0.2"/>
    <row r="191" s="37" customFormat="1" ht="16" customHeight="1" x14ac:dyDescent="0.2"/>
    <row r="192" s="37" customFormat="1" ht="16" customHeight="1" x14ac:dyDescent="0.2"/>
    <row r="193" s="37" customFormat="1" ht="16" customHeight="1" x14ac:dyDescent="0.2"/>
    <row r="194" s="37" customFormat="1" ht="16" customHeight="1" x14ac:dyDescent="0.2"/>
    <row r="195" s="37" customFormat="1" ht="16" customHeight="1" x14ac:dyDescent="0.2"/>
    <row r="196" s="37" customFormat="1" ht="16" customHeight="1" x14ac:dyDescent="0.2"/>
    <row r="197" s="37" customFormat="1" ht="16" customHeight="1" x14ac:dyDescent="0.2"/>
    <row r="198" s="37" customFormat="1" ht="16" customHeight="1" x14ac:dyDescent="0.2"/>
    <row r="199" s="37" customFormat="1" ht="16" customHeight="1" x14ac:dyDescent="0.2"/>
    <row r="200" s="37" customFormat="1" ht="16" customHeight="1" x14ac:dyDescent="0.2"/>
  </sheetData>
  <mergeCells count="15">
    <mergeCell ref="A3:J3"/>
    <mergeCell ref="A4:J4"/>
    <mergeCell ref="A5:D5"/>
    <mergeCell ref="A7:B9"/>
    <mergeCell ref="C7:C10"/>
    <mergeCell ref="D7:H7"/>
    <mergeCell ref="I7:J8"/>
    <mergeCell ref="D8:D9"/>
    <mergeCell ref="E8:E9"/>
    <mergeCell ref="F8:F9"/>
    <mergeCell ref="G8:G9"/>
    <mergeCell ref="H8:H9"/>
    <mergeCell ref="A11:B11"/>
    <mergeCell ref="A40:J40"/>
    <mergeCell ref="A41:J41"/>
  </mergeCells>
  <printOptions horizontalCentered="1"/>
  <pageMargins left="0.7" right="0.7" top="0.75" bottom="0.75" header="0.3" footer="0.3"/>
  <pageSetup paperSize="9" scale="67"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5B09D-F5D3-4B9A-B135-71CC5B7B49E8}">
  <sheetPr codeName="Tabelle18">
    <pageSetUpPr fitToPage="1"/>
  </sheetPr>
  <dimension ref="A1:Q197"/>
  <sheetViews>
    <sheetView showGridLines="0" zoomScaleNormal="100" workbookViewId="0"/>
  </sheetViews>
  <sheetFormatPr defaultColWidth="8.81640625" defaultRowHeight="16" customHeight="1" x14ac:dyDescent="0.2"/>
  <cols>
    <col min="1" max="1" width="6.7265625" style="37" customWidth="1"/>
    <col min="2" max="2" width="29.7265625" style="37" customWidth="1"/>
    <col min="3" max="3" width="6.7265625" style="37" customWidth="1"/>
    <col min="4" max="4" width="9.7265625" style="61" customWidth="1"/>
    <col min="5" max="10" width="9.7265625" style="90" customWidth="1"/>
    <col min="11" max="11" width="9.7265625" style="91" customWidth="1"/>
    <col min="12" max="12" width="2.1796875" style="37" customWidth="1"/>
    <col min="13" max="16384" width="8.81640625" style="37"/>
  </cols>
  <sheetData>
    <row r="1" spans="1:17" customFormat="1" ht="36.75" customHeight="1" x14ac:dyDescent="0.25">
      <c r="A1" s="30"/>
      <c r="B1" s="31"/>
      <c r="C1" s="31"/>
      <c r="D1" s="31"/>
      <c r="E1" s="31"/>
      <c r="F1" s="31"/>
      <c r="G1" s="31"/>
      <c r="H1" s="31"/>
      <c r="I1" s="31"/>
      <c r="J1" s="31"/>
      <c r="K1" s="32" t="s">
        <v>40</v>
      </c>
    </row>
    <row r="2" spans="1:17" customFormat="1" ht="6.25" customHeight="1" x14ac:dyDescent="0.25">
      <c r="A2" s="33"/>
      <c r="B2" s="34"/>
      <c r="C2" s="34"/>
      <c r="D2" s="34"/>
      <c r="E2" s="34"/>
      <c r="F2" s="34"/>
      <c r="G2" s="34"/>
      <c r="H2" s="34"/>
      <c r="I2" s="34"/>
      <c r="J2" s="34"/>
      <c r="K2" s="34"/>
    </row>
    <row r="3" spans="1:17" s="35" customFormat="1" ht="25" customHeight="1" x14ac:dyDescent="0.35">
      <c r="A3" s="444" t="s">
        <v>372</v>
      </c>
      <c r="B3" s="445"/>
      <c r="C3" s="445"/>
      <c r="D3" s="445"/>
      <c r="E3" s="445"/>
      <c r="F3" s="445"/>
      <c r="G3" s="445"/>
      <c r="H3" s="445"/>
      <c r="I3" s="445"/>
      <c r="J3" s="445"/>
      <c r="K3" s="445"/>
    </row>
    <row r="4" spans="1:17" s="35" customFormat="1" ht="12" customHeight="1" x14ac:dyDescent="0.35">
      <c r="A4" s="446" t="s">
        <v>86</v>
      </c>
      <c r="B4" s="446"/>
      <c r="C4" s="446"/>
      <c r="D4" s="446"/>
      <c r="E4" s="446"/>
      <c r="F4" s="446"/>
      <c r="G4" s="446"/>
      <c r="H4" s="446"/>
      <c r="I4" s="446"/>
      <c r="J4" s="446"/>
      <c r="K4" s="446"/>
    </row>
    <row r="5" spans="1:17" s="35" customFormat="1" ht="12" customHeight="1" x14ac:dyDescent="0.35">
      <c r="A5" s="447" t="s">
        <v>336</v>
      </c>
      <c r="B5" s="447"/>
      <c r="C5" s="447"/>
      <c r="D5" s="447"/>
      <c r="E5" s="447"/>
      <c r="F5" s="165"/>
      <c r="G5" s="165"/>
      <c r="H5" s="165"/>
      <c r="I5" s="165"/>
      <c r="J5" s="165"/>
      <c r="K5" s="165"/>
    </row>
    <row r="6" spans="1:17" s="35" customFormat="1" ht="11.25" customHeight="1" x14ac:dyDescent="0.35">
      <c r="A6" s="145"/>
      <c r="B6" s="146"/>
      <c r="C6" s="146"/>
      <c r="D6" s="146"/>
      <c r="E6" s="146"/>
      <c r="F6" s="146"/>
      <c r="G6" s="146"/>
      <c r="H6" s="146"/>
      <c r="I6" s="146"/>
      <c r="J6" s="146"/>
    </row>
    <row r="7" spans="1:17" customFormat="1" ht="25" customHeight="1" x14ac:dyDescent="0.25">
      <c r="A7" s="462" t="s">
        <v>334</v>
      </c>
      <c r="B7" s="451"/>
      <c r="C7" s="451"/>
      <c r="D7" s="456" t="s">
        <v>88</v>
      </c>
      <c r="E7" s="513" t="s">
        <v>373</v>
      </c>
      <c r="F7" s="514"/>
      <c r="G7" s="514"/>
      <c r="H7" s="514"/>
      <c r="I7" s="515"/>
      <c r="J7" s="462" t="s">
        <v>360</v>
      </c>
      <c r="K7" s="463"/>
      <c r="L7" s="37"/>
      <c r="M7" s="37"/>
      <c r="N7" s="37"/>
      <c r="O7" s="37"/>
      <c r="Q7" s="300"/>
    </row>
    <row r="8" spans="1:17" ht="21.75" customHeight="1" x14ac:dyDescent="0.2">
      <c r="A8" s="452"/>
      <c r="B8" s="453"/>
      <c r="C8" s="453"/>
      <c r="D8" s="457"/>
      <c r="E8" s="438" t="s">
        <v>336</v>
      </c>
      <c r="F8" s="438" t="s">
        <v>338</v>
      </c>
      <c r="G8" s="438" t="s">
        <v>339</v>
      </c>
      <c r="H8" s="438" t="s">
        <v>340</v>
      </c>
      <c r="I8" s="438" t="s">
        <v>341</v>
      </c>
      <c r="J8" s="464"/>
      <c r="K8" s="465"/>
    </row>
    <row r="9" spans="1:17" ht="12" customHeight="1" x14ac:dyDescent="0.2">
      <c r="A9" s="452"/>
      <c r="B9" s="453"/>
      <c r="C9" s="453"/>
      <c r="D9" s="457"/>
      <c r="E9" s="439"/>
      <c r="F9" s="439"/>
      <c r="G9" s="439"/>
      <c r="H9" s="439"/>
      <c r="I9" s="439"/>
      <c r="J9" s="38" t="s">
        <v>96</v>
      </c>
      <c r="K9" s="39" t="s">
        <v>97</v>
      </c>
    </row>
    <row r="10" spans="1:17" ht="12" customHeight="1" x14ac:dyDescent="0.2">
      <c r="A10" s="454"/>
      <c r="B10" s="455"/>
      <c r="C10" s="455"/>
      <c r="D10" s="458"/>
      <c r="E10" s="40">
        <v>1</v>
      </c>
      <c r="F10" s="40">
        <v>2</v>
      </c>
      <c r="G10" s="40">
        <v>3</v>
      </c>
      <c r="H10" s="40">
        <v>4</v>
      </c>
      <c r="I10" s="40">
        <v>5</v>
      </c>
      <c r="J10" s="40">
        <v>6</v>
      </c>
      <c r="K10" s="40">
        <v>7</v>
      </c>
    </row>
    <row r="11" spans="1:17" ht="18" customHeight="1" x14ac:dyDescent="0.2">
      <c r="A11" s="190" t="s">
        <v>98</v>
      </c>
      <c r="B11" s="191"/>
      <c r="C11" s="192"/>
      <c r="D11" s="193">
        <v>100</v>
      </c>
      <c r="E11" s="197">
        <v>4680</v>
      </c>
      <c r="F11" s="240">
        <v>6125</v>
      </c>
      <c r="G11" s="240">
        <v>4479</v>
      </c>
      <c r="H11" s="240">
        <v>5644</v>
      </c>
      <c r="I11" s="196">
        <v>4546</v>
      </c>
      <c r="J11" s="197">
        <v>134</v>
      </c>
      <c r="K11" s="198">
        <v>2.9476462824461063</v>
      </c>
    </row>
    <row r="12" spans="1:17" ht="18" customHeight="1" x14ac:dyDescent="0.2">
      <c r="A12" s="199" t="s">
        <v>224</v>
      </c>
      <c r="B12" s="200"/>
      <c r="C12" s="200"/>
      <c r="D12" s="201"/>
      <c r="E12" s="214"/>
      <c r="F12" s="214"/>
      <c r="G12" s="214"/>
      <c r="H12" s="214"/>
      <c r="I12" s="214"/>
      <c r="J12" s="201"/>
      <c r="K12" s="202"/>
    </row>
    <row r="13" spans="1:17" ht="16" customHeight="1" x14ac:dyDescent="0.2">
      <c r="A13" s="203" t="s">
        <v>225</v>
      </c>
      <c r="B13" s="204"/>
      <c r="C13" s="205"/>
      <c r="D13" s="206">
        <v>23.29059829059829</v>
      </c>
      <c r="E13" s="207">
        <v>1090</v>
      </c>
      <c r="F13" s="208">
        <v>1383</v>
      </c>
      <c r="G13" s="208">
        <v>1221</v>
      </c>
      <c r="H13" s="208">
        <v>1415</v>
      </c>
      <c r="I13" s="209">
        <v>1128</v>
      </c>
      <c r="J13" s="207">
        <v>-38</v>
      </c>
      <c r="K13" s="210">
        <v>-3.3687943262411348</v>
      </c>
    </row>
    <row r="14" spans="1:17" ht="16" customHeight="1" x14ac:dyDescent="0.2">
      <c r="A14" s="203" t="s">
        <v>226</v>
      </c>
      <c r="B14" s="204"/>
      <c r="C14" s="205"/>
      <c r="D14" s="206">
        <v>59.487179487179489</v>
      </c>
      <c r="E14" s="207">
        <v>2784</v>
      </c>
      <c r="F14" s="208">
        <v>3594</v>
      </c>
      <c r="G14" s="208">
        <v>2570</v>
      </c>
      <c r="H14" s="208">
        <v>3224</v>
      </c>
      <c r="I14" s="209">
        <v>2600</v>
      </c>
      <c r="J14" s="207">
        <v>184</v>
      </c>
      <c r="K14" s="210">
        <v>7.0769230769230766</v>
      </c>
    </row>
    <row r="15" spans="1:17" ht="16" customHeight="1" x14ac:dyDescent="0.2">
      <c r="A15" s="203" t="s">
        <v>227</v>
      </c>
      <c r="B15" s="204"/>
      <c r="C15" s="205"/>
      <c r="D15" s="206">
        <v>8.1837606837606831</v>
      </c>
      <c r="E15" s="207">
        <v>383</v>
      </c>
      <c r="F15" s="208">
        <v>544</v>
      </c>
      <c r="G15" s="208">
        <v>313</v>
      </c>
      <c r="H15" s="208">
        <v>449</v>
      </c>
      <c r="I15" s="209">
        <v>414</v>
      </c>
      <c r="J15" s="207">
        <v>-31</v>
      </c>
      <c r="K15" s="210">
        <v>-7.4879227053140101</v>
      </c>
    </row>
    <row r="16" spans="1:17" ht="16" customHeight="1" x14ac:dyDescent="0.2">
      <c r="A16" s="203" t="s">
        <v>228</v>
      </c>
      <c r="B16" s="204"/>
      <c r="C16" s="205"/>
      <c r="D16" s="206">
        <v>8.7606837606837615</v>
      </c>
      <c r="E16" s="207">
        <v>410</v>
      </c>
      <c r="F16" s="208">
        <v>588</v>
      </c>
      <c r="G16" s="208">
        <v>357</v>
      </c>
      <c r="H16" s="208">
        <v>514</v>
      </c>
      <c r="I16" s="209">
        <v>386</v>
      </c>
      <c r="J16" s="207">
        <v>24</v>
      </c>
      <c r="K16" s="210">
        <v>6.2176165803108807</v>
      </c>
    </row>
    <row r="17" spans="1:11" ht="18" customHeight="1" x14ac:dyDescent="0.2">
      <c r="A17" s="199" t="s">
        <v>235</v>
      </c>
      <c r="B17" s="200"/>
      <c r="C17" s="200"/>
      <c r="D17" s="201"/>
      <c r="E17" s="214"/>
      <c r="F17" s="214"/>
      <c r="G17" s="214"/>
      <c r="H17" s="214"/>
      <c r="I17" s="214"/>
      <c r="J17" s="201"/>
      <c r="K17" s="202"/>
    </row>
    <row r="18" spans="1:11" ht="13.5" customHeight="1" x14ac:dyDescent="0.2">
      <c r="A18" s="203">
        <v>11</v>
      </c>
      <c r="B18" s="204" t="s">
        <v>236</v>
      </c>
      <c r="C18" s="205"/>
      <c r="D18" s="206">
        <v>1.4316239316239316</v>
      </c>
      <c r="E18" s="430">
        <v>67</v>
      </c>
      <c r="F18" s="208">
        <v>109</v>
      </c>
      <c r="G18" s="208">
        <v>125</v>
      </c>
      <c r="H18" s="208">
        <v>113</v>
      </c>
      <c r="I18" s="432">
        <v>78</v>
      </c>
      <c r="J18" s="207">
        <v>-11</v>
      </c>
      <c r="K18" s="210">
        <v>-14.102564102564102</v>
      </c>
    </row>
    <row r="19" spans="1:11" ht="13.5" customHeight="1" x14ac:dyDescent="0.2">
      <c r="A19" s="203" t="s">
        <v>237</v>
      </c>
      <c r="B19" s="204" t="s">
        <v>238</v>
      </c>
      <c r="C19" s="205"/>
      <c r="D19" s="206">
        <v>0.74786324786324787</v>
      </c>
      <c r="E19" s="430">
        <v>35</v>
      </c>
      <c r="F19" s="431">
        <v>50</v>
      </c>
      <c r="G19" s="431">
        <v>86</v>
      </c>
      <c r="H19" s="431">
        <v>68</v>
      </c>
      <c r="I19" s="432">
        <v>30</v>
      </c>
      <c r="J19" s="207">
        <v>5</v>
      </c>
      <c r="K19" s="210">
        <v>16.666666666666668</v>
      </c>
    </row>
    <row r="20" spans="1:11" ht="13.5" customHeight="1" x14ac:dyDescent="0.2">
      <c r="A20" s="203">
        <v>12</v>
      </c>
      <c r="B20" s="204" t="s">
        <v>239</v>
      </c>
      <c r="C20" s="205"/>
      <c r="D20" s="206">
        <v>0.87606837606837606</v>
      </c>
      <c r="E20" s="430">
        <v>41</v>
      </c>
      <c r="F20" s="431">
        <v>60</v>
      </c>
      <c r="G20" s="431">
        <v>95</v>
      </c>
      <c r="H20" s="431">
        <v>51</v>
      </c>
      <c r="I20" s="432">
        <v>33</v>
      </c>
      <c r="J20" s="207">
        <v>8</v>
      </c>
      <c r="K20" s="210">
        <v>24.242424242424242</v>
      </c>
    </row>
    <row r="21" spans="1:11" ht="13.5" customHeight="1" x14ac:dyDescent="0.2">
      <c r="A21" s="203">
        <v>21</v>
      </c>
      <c r="B21" s="204" t="s">
        <v>240</v>
      </c>
      <c r="C21" s="205"/>
      <c r="D21" s="206">
        <v>0.85470085470085466</v>
      </c>
      <c r="E21" s="430">
        <v>40</v>
      </c>
      <c r="F21" s="431">
        <v>48</v>
      </c>
      <c r="G21" s="431">
        <v>52</v>
      </c>
      <c r="H21" s="431">
        <v>40</v>
      </c>
      <c r="I21" s="209">
        <v>108</v>
      </c>
      <c r="J21" s="207">
        <v>-68</v>
      </c>
      <c r="K21" s="210">
        <v>-62.962962962962962</v>
      </c>
    </row>
    <row r="22" spans="1:11" ht="13.5" customHeight="1" x14ac:dyDescent="0.2">
      <c r="A22" s="203">
        <v>22</v>
      </c>
      <c r="B22" s="204" t="s">
        <v>241</v>
      </c>
      <c r="C22" s="205"/>
      <c r="D22" s="206">
        <v>2.3290598290598292</v>
      </c>
      <c r="E22" s="207">
        <v>109</v>
      </c>
      <c r="F22" s="208">
        <v>135</v>
      </c>
      <c r="G22" s="431">
        <v>98</v>
      </c>
      <c r="H22" s="208">
        <v>158</v>
      </c>
      <c r="I22" s="432">
        <v>84</v>
      </c>
      <c r="J22" s="207">
        <v>25</v>
      </c>
      <c r="K22" s="210">
        <v>29.761904761904763</v>
      </c>
    </row>
    <row r="23" spans="1:11" ht="13.5" customHeight="1" x14ac:dyDescent="0.2">
      <c r="A23" s="203">
        <v>23</v>
      </c>
      <c r="B23" s="204" t="s">
        <v>242</v>
      </c>
      <c r="C23" s="205"/>
      <c r="D23" s="206">
        <v>0.42735042735042733</v>
      </c>
      <c r="E23" s="430">
        <v>20</v>
      </c>
      <c r="F23" s="431">
        <v>14</v>
      </c>
      <c r="G23" s="431">
        <v>9</v>
      </c>
      <c r="H23" s="431">
        <v>18</v>
      </c>
      <c r="I23" s="432">
        <v>14</v>
      </c>
      <c r="J23" s="207">
        <v>6</v>
      </c>
      <c r="K23" s="210">
        <v>42.857142857142854</v>
      </c>
    </row>
    <row r="24" spans="1:11" ht="13.5" customHeight="1" x14ac:dyDescent="0.2">
      <c r="A24" s="203">
        <v>24</v>
      </c>
      <c r="B24" s="204" t="s">
        <v>243</v>
      </c>
      <c r="C24" s="205"/>
      <c r="D24" s="206">
        <v>4.6581196581196584</v>
      </c>
      <c r="E24" s="207">
        <v>218</v>
      </c>
      <c r="F24" s="208">
        <v>254</v>
      </c>
      <c r="G24" s="208">
        <v>153</v>
      </c>
      <c r="H24" s="208">
        <v>195</v>
      </c>
      <c r="I24" s="209">
        <v>170</v>
      </c>
      <c r="J24" s="207">
        <v>48</v>
      </c>
      <c r="K24" s="210">
        <v>28.235294117647058</v>
      </c>
    </row>
    <row r="25" spans="1:11" ht="13.5" customHeight="1" x14ac:dyDescent="0.2">
      <c r="A25" s="203">
        <v>25</v>
      </c>
      <c r="B25" s="204" t="s">
        <v>244</v>
      </c>
      <c r="C25" s="205"/>
      <c r="D25" s="206">
        <v>5.8119658119658117</v>
      </c>
      <c r="E25" s="207">
        <v>272</v>
      </c>
      <c r="F25" s="208">
        <v>292</v>
      </c>
      <c r="G25" s="208">
        <v>234</v>
      </c>
      <c r="H25" s="208">
        <v>194</v>
      </c>
      <c r="I25" s="209">
        <v>195</v>
      </c>
      <c r="J25" s="207">
        <v>77</v>
      </c>
      <c r="K25" s="210">
        <v>39.487179487179489</v>
      </c>
    </row>
    <row r="26" spans="1:11" ht="13.5" customHeight="1" x14ac:dyDescent="0.2">
      <c r="A26" s="203">
        <v>26</v>
      </c>
      <c r="B26" s="204" t="s">
        <v>245</v>
      </c>
      <c r="C26" s="205"/>
      <c r="D26" s="206">
        <v>2.2222222222222223</v>
      </c>
      <c r="E26" s="207">
        <v>104</v>
      </c>
      <c r="F26" s="208">
        <v>184</v>
      </c>
      <c r="G26" s="208">
        <v>112</v>
      </c>
      <c r="H26" s="208">
        <v>119</v>
      </c>
      <c r="I26" s="432">
        <v>95</v>
      </c>
      <c r="J26" s="207">
        <v>9</v>
      </c>
      <c r="K26" s="210">
        <v>9.473684210526315</v>
      </c>
    </row>
    <row r="27" spans="1:11" ht="13.5" customHeight="1" x14ac:dyDescent="0.2">
      <c r="A27" s="203">
        <v>27</v>
      </c>
      <c r="B27" s="204" t="s">
        <v>246</v>
      </c>
      <c r="C27" s="205"/>
      <c r="D27" s="206">
        <v>1.8376068376068375</v>
      </c>
      <c r="E27" s="430">
        <v>86</v>
      </c>
      <c r="F27" s="208">
        <v>118</v>
      </c>
      <c r="G27" s="431">
        <v>59</v>
      </c>
      <c r="H27" s="431">
        <v>73</v>
      </c>
      <c r="I27" s="432">
        <v>69</v>
      </c>
      <c r="J27" s="207">
        <v>17</v>
      </c>
      <c r="K27" s="210">
        <v>24.637681159420289</v>
      </c>
    </row>
    <row r="28" spans="1:11" ht="13.5" customHeight="1" x14ac:dyDescent="0.2">
      <c r="A28" s="203">
        <v>28</v>
      </c>
      <c r="B28" s="204" t="s">
        <v>247</v>
      </c>
      <c r="C28" s="205"/>
      <c r="D28" s="206">
        <v>2.6709401709401708</v>
      </c>
      <c r="E28" s="207">
        <v>125</v>
      </c>
      <c r="F28" s="208">
        <v>112</v>
      </c>
      <c r="G28" s="431">
        <v>92</v>
      </c>
      <c r="H28" s="431">
        <v>99</v>
      </c>
      <c r="I28" s="432">
        <v>61</v>
      </c>
      <c r="J28" s="207">
        <v>64</v>
      </c>
      <c r="K28" s="210">
        <v>104.91803278688525</v>
      </c>
    </row>
    <row r="29" spans="1:11" ht="13.5" customHeight="1" x14ac:dyDescent="0.2">
      <c r="A29" s="203">
        <v>29</v>
      </c>
      <c r="B29" s="204" t="s">
        <v>248</v>
      </c>
      <c r="C29" s="205"/>
      <c r="D29" s="206">
        <v>6.1324786324786329</v>
      </c>
      <c r="E29" s="207">
        <v>287</v>
      </c>
      <c r="F29" s="208">
        <v>324</v>
      </c>
      <c r="G29" s="208">
        <v>240</v>
      </c>
      <c r="H29" s="208">
        <v>265</v>
      </c>
      <c r="I29" s="209">
        <v>225</v>
      </c>
      <c r="J29" s="207">
        <v>62</v>
      </c>
      <c r="K29" s="210">
        <v>27.555555555555557</v>
      </c>
    </row>
    <row r="30" spans="1:11" ht="13.5" customHeight="1" x14ac:dyDescent="0.2">
      <c r="A30" s="203" t="s">
        <v>249</v>
      </c>
      <c r="B30" s="204" t="s">
        <v>250</v>
      </c>
      <c r="C30" s="205"/>
      <c r="D30" s="206">
        <v>3.4615384615384617</v>
      </c>
      <c r="E30" s="207">
        <v>162</v>
      </c>
      <c r="F30" s="208">
        <v>107</v>
      </c>
      <c r="G30" s="431">
        <v>84</v>
      </c>
      <c r="H30" s="208">
        <v>124</v>
      </c>
      <c r="I30" s="209" t="s">
        <v>548</v>
      </c>
      <c r="J30" s="207" t="s">
        <v>548</v>
      </c>
      <c r="K30" s="210" t="s">
        <v>548</v>
      </c>
    </row>
    <row r="31" spans="1:11" ht="13.5" customHeight="1" x14ac:dyDescent="0.2">
      <c r="A31" s="203" t="s">
        <v>251</v>
      </c>
      <c r="B31" s="204" t="s">
        <v>252</v>
      </c>
      <c r="C31" s="205"/>
      <c r="D31" s="206">
        <v>2.5427350427350426</v>
      </c>
      <c r="E31" s="207">
        <v>119</v>
      </c>
      <c r="F31" s="208">
        <v>214</v>
      </c>
      <c r="G31" s="208">
        <v>152</v>
      </c>
      <c r="H31" s="208">
        <v>135</v>
      </c>
      <c r="I31" s="209">
        <v>112</v>
      </c>
      <c r="J31" s="207">
        <v>7</v>
      </c>
      <c r="K31" s="210">
        <v>6.25</v>
      </c>
    </row>
    <row r="32" spans="1:11" ht="13.5" customHeight="1" x14ac:dyDescent="0.2">
      <c r="A32" s="203">
        <v>31</v>
      </c>
      <c r="B32" s="204" t="s">
        <v>253</v>
      </c>
      <c r="C32" s="205"/>
      <c r="D32" s="206">
        <v>0.29914529914529914</v>
      </c>
      <c r="E32" s="430">
        <v>14</v>
      </c>
      <c r="F32" s="431">
        <v>26</v>
      </c>
      <c r="G32" s="431">
        <v>11</v>
      </c>
      <c r="H32" s="431">
        <v>18</v>
      </c>
      <c r="I32" s="209" t="s">
        <v>548</v>
      </c>
      <c r="J32" s="207" t="s">
        <v>548</v>
      </c>
      <c r="K32" s="210" t="s">
        <v>548</v>
      </c>
    </row>
    <row r="33" spans="1:11" ht="13.5" customHeight="1" x14ac:dyDescent="0.2">
      <c r="A33" s="203">
        <v>32</v>
      </c>
      <c r="B33" s="204" t="s">
        <v>254</v>
      </c>
      <c r="C33" s="205"/>
      <c r="D33" s="206">
        <v>3.1196581196581197</v>
      </c>
      <c r="E33" s="207">
        <v>146</v>
      </c>
      <c r="F33" s="208">
        <v>185</v>
      </c>
      <c r="G33" s="208">
        <v>147</v>
      </c>
      <c r="H33" s="208">
        <v>171</v>
      </c>
      <c r="I33" s="209">
        <v>105</v>
      </c>
      <c r="J33" s="207">
        <v>41</v>
      </c>
      <c r="K33" s="210">
        <v>39.047619047619051</v>
      </c>
    </row>
    <row r="34" spans="1:11" ht="13.5" customHeight="1" x14ac:dyDescent="0.2">
      <c r="A34" s="203">
        <v>33</v>
      </c>
      <c r="B34" s="204" t="s">
        <v>255</v>
      </c>
      <c r="C34" s="205"/>
      <c r="D34" s="206">
        <v>1.7094017094017093</v>
      </c>
      <c r="E34" s="430">
        <v>80</v>
      </c>
      <c r="F34" s="208">
        <v>108</v>
      </c>
      <c r="G34" s="431">
        <v>77</v>
      </c>
      <c r="H34" s="208">
        <v>102</v>
      </c>
      <c r="I34" s="432">
        <v>64</v>
      </c>
      <c r="J34" s="207">
        <v>16</v>
      </c>
      <c r="K34" s="210">
        <v>25</v>
      </c>
    </row>
    <row r="35" spans="1:11" ht="13.5" customHeight="1" x14ac:dyDescent="0.2">
      <c r="A35" s="203">
        <v>34</v>
      </c>
      <c r="B35" s="204" t="s">
        <v>256</v>
      </c>
      <c r="C35" s="205"/>
      <c r="D35" s="206">
        <v>2.5213675213675213</v>
      </c>
      <c r="E35" s="207">
        <v>118</v>
      </c>
      <c r="F35" s="208">
        <v>213</v>
      </c>
      <c r="G35" s="208">
        <v>141</v>
      </c>
      <c r="H35" s="208">
        <v>137</v>
      </c>
      <c r="I35" s="209">
        <v>146</v>
      </c>
      <c r="J35" s="207">
        <v>-28</v>
      </c>
      <c r="K35" s="210">
        <v>-19.17808219178082</v>
      </c>
    </row>
    <row r="36" spans="1:11" ht="13.5" customHeight="1" x14ac:dyDescent="0.2">
      <c r="A36" s="203">
        <v>41</v>
      </c>
      <c r="B36" s="204" t="s">
        <v>257</v>
      </c>
      <c r="C36" s="205"/>
      <c r="D36" s="206">
        <v>0.47008547008547008</v>
      </c>
      <c r="E36" s="430">
        <v>22</v>
      </c>
      <c r="F36" s="431">
        <v>30</v>
      </c>
      <c r="G36" s="431">
        <v>30</v>
      </c>
      <c r="H36" s="431">
        <v>39</v>
      </c>
      <c r="I36" s="432">
        <v>19</v>
      </c>
      <c r="J36" s="207">
        <v>3</v>
      </c>
      <c r="K36" s="210">
        <v>15.789473684210526</v>
      </c>
    </row>
    <row r="37" spans="1:11" ht="13.5" customHeight="1" x14ac:dyDescent="0.2">
      <c r="A37" s="203">
        <v>42</v>
      </c>
      <c r="B37" s="204" t="s">
        <v>258</v>
      </c>
      <c r="C37" s="205"/>
      <c r="D37" s="206">
        <v>0.23504273504273504</v>
      </c>
      <c r="E37" s="430">
        <v>11</v>
      </c>
      <c r="F37" s="208" t="s">
        <v>548</v>
      </c>
      <c r="G37" s="208" t="s">
        <v>548</v>
      </c>
      <c r="H37" s="431">
        <v>8</v>
      </c>
      <c r="I37" s="209" t="s">
        <v>548</v>
      </c>
      <c r="J37" s="207" t="s">
        <v>548</v>
      </c>
      <c r="K37" s="210" t="s">
        <v>548</v>
      </c>
    </row>
    <row r="38" spans="1:11" ht="13.5" customHeight="1" x14ac:dyDescent="0.2">
      <c r="A38" s="203">
        <v>43</v>
      </c>
      <c r="B38" s="204" t="s">
        <v>259</v>
      </c>
      <c r="C38" s="205"/>
      <c r="D38" s="206">
        <v>0.70512820512820518</v>
      </c>
      <c r="E38" s="430">
        <v>33</v>
      </c>
      <c r="F38" s="431">
        <v>68</v>
      </c>
      <c r="G38" s="431">
        <v>27</v>
      </c>
      <c r="H38" s="431">
        <v>43</v>
      </c>
      <c r="I38" s="432">
        <v>30</v>
      </c>
      <c r="J38" s="207">
        <v>3</v>
      </c>
      <c r="K38" s="210">
        <v>10</v>
      </c>
    </row>
    <row r="39" spans="1:11" ht="13.5" customHeight="1" x14ac:dyDescent="0.2">
      <c r="A39" s="203">
        <v>51</v>
      </c>
      <c r="B39" s="204" t="s">
        <v>260</v>
      </c>
      <c r="C39" s="205"/>
      <c r="D39" s="206">
        <v>5.2777777777777777</v>
      </c>
      <c r="E39" s="207">
        <v>247</v>
      </c>
      <c r="F39" s="208">
        <v>308</v>
      </c>
      <c r="G39" s="208">
        <v>217</v>
      </c>
      <c r="H39" s="208">
        <v>284</v>
      </c>
      <c r="I39" s="209">
        <v>228</v>
      </c>
      <c r="J39" s="207">
        <v>19</v>
      </c>
      <c r="K39" s="210">
        <v>8.3333333333333339</v>
      </c>
    </row>
    <row r="40" spans="1:11" ht="13.5" customHeight="1" x14ac:dyDescent="0.2">
      <c r="A40" s="203" t="s">
        <v>261</v>
      </c>
      <c r="B40" s="204" t="s">
        <v>262</v>
      </c>
      <c r="C40" s="205"/>
      <c r="D40" s="206">
        <v>4.615384615384615</v>
      </c>
      <c r="E40" s="207">
        <v>216</v>
      </c>
      <c r="F40" s="208">
        <v>276</v>
      </c>
      <c r="G40" s="208">
        <v>188</v>
      </c>
      <c r="H40" s="208">
        <v>252</v>
      </c>
      <c r="I40" s="209">
        <v>205</v>
      </c>
      <c r="J40" s="207">
        <v>11</v>
      </c>
      <c r="K40" s="210">
        <v>5.3658536585365857</v>
      </c>
    </row>
    <row r="41" spans="1:11" ht="13.5" customHeight="1" x14ac:dyDescent="0.2">
      <c r="A41" s="203"/>
      <c r="B41" s="204" t="s">
        <v>263</v>
      </c>
      <c r="C41" s="205"/>
      <c r="D41" s="206">
        <v>3.4615384615384617</v>
      </c>
      <c r="E41" s="207">
        <v>162</v>
      </c>
      <c r="F41" s="208">
        <v>198</v>
      </c>
      <c r="G41" s="208">
        <v>140</v>
      </c>
      <c r="H41" s="208">
        <v>202</v>
      </c>
      <c r="I41" s="209">
        <v>134</v>
      </c>
      <c r="J41" s="207">
        <v>28</v>
      </c>
      <c r="K41" s="210">
        <v>20.895522388059703</v>
      </c>
    </row>
    <row r="42" spans="1:11" ht="13.5" customHeight="1" x14ac:dyDescent="0.2">
      <c r="A42" s="203">
        <v>52</v>
      </c>
      <c r="B42" s="204" t="s">
        <v>264</v>
      </c>
      <c r="C42" s="205"/>
      <c r="D42" s="206">
        <v>4.5299145299145298</v>
      </c>
      <c r="E42" s="207">
        <v>212</v>
      </c>
      <c r="F42" s="208">
        <v>276</v>
      </c>
      <c r="G42" s="208">
        <v>257</v>
      </c>
      <c r="H42" s="208">
        <v>279</v>
      </c>
      <c r="I42" s="209">
        <v>234</v>
      </c>
      <c r="J42" s="207">
        <v>-22</v>
      </c>
      <c r="K42" s="210">
        <v>-9.4017094017094021</v>
      </c>
    </row>
    <row r="43" spans="1:11" ht="13.5" customHeight="1" x14ac:dyDescent="0.2">
      <c r="A43" s="203" t="s">
        <v>265</v>
      </c>
      <c r="B43" s="204" t="s">
        <v>266</v>
      </c>
      <c r="C43" s="205"/>
      <c r="D43" s="206">
        <v>3.7606837606837606</v>
      </c>
      <c r="E43" s="207">
        <v>176</v>
      </c>
      <c r="F43" s="208">
        <v>226</v>
      </c>
      <c r="G43" s="208">
        <v>207</v>
      </c>
      <c r="H43" s="208">
        <v>236</v>
      </c>
      <c r="I43" s="209">
        <v>191</v>
      </c>
      <c r="J43" s="207">
        <v>-15</v>
      </c>
      <c r="K43" s="210">
        <v>-7.8534031413612562</v>
      </c>
    </row>
    <row r="44" spans="1:11" ht="13.5" customHeight="1" x14ac:dyDescent="0.2">
      <c r="A44" s="203">
        <v>53</v>
      </c>
      <c r="B44" s="204" t="s">
        <v>267</v>
      </c>
      <c r="C44" s="205"/>
      <c r="D44" s="206">
        <v>0.85470085470085466</v>
      </c>
      <c r="E44" s="430">
        <v>40</v>
      </c>
      <c r="F44" s="431">
        <v>73</v>
      </c>
      <c r="G44" s="431">
        <v>34</v>
      </c>
      <c r="H44" s="431">
        <v>36</v>
      </c>
      <c r="I44" s="432">
        <v>26</v>
      </c>
      <c r="J44" s="207">
        <v>14</v>
      </c>
      <c r="K44" s="210">
        <v>53.846153846153847</v>
      </c>
    </row>
    <row r="45" spans="1:11" ht="13.5" customHeight="1" x14ac:dyDescent="0.2">
      <c r="A45" s="203" t="s">
        <v>268</v>
      </c>
      <c r="B45" s="204" t="s">
        <v>269</v>
      </c>
      <c r="C45" s="205"/>
      <c r="D45" s="206">
        <v>0.74786324786324787</v>
      </c>
      <c r="E45" s="430">
        <v>35</v>
      </c>
      <c r="F45" s="431">
        <v>67</v>
      </c>
      <c r="G45" s="431">
        <v>29</v>
      </c>
      <c r="H45" s="431">
        <v>31</v>
      </c>
      <c r="I45" s="432">
        <v>25</v>
      </c>
      <c r="J45" s="207">
        <v>10</v>
      </c>
      <c r="K45" s="210">
        <v>40</v>
      </c>
    </row>
    <row r="46" spans="1:11" ht="13.5" customHeight="1" x14ac:dyDescent="0.2">
      <c r="A46" s="203">
        <v>54</v>
      </c>
      <c r="B46" s="204" t="s">
        <v>270</v>
      </c>
      <c r="C46" s="205"/>
      <c r="D46" s="206">
        <v>2.7564102564102564</v>
      </c>
      <c r="E46" s="207">
        <v>129</v>
      </c>
      <c r="F46" s="208">
        <v>209</v>
      </c>
      <c r="G46" s="208">
        <v>139</v>
      </c>
      <c r="H46" s="208">
        <v>143</v>
      </c>
      <c r="I46" s="209">
        <v>126</v>
      </c>
      <c r="J46" s="207">
        <v>3</v>
      </c>
      <c r="K46" s="210">
        <v>2.3809523809523809</v>
      </c>
    </row>
    <row r="47" spans="1:11" ht="13.5" customHeight="1" x14ac:dyDescent="0.2">
      <c r="A47" s="203">
        <v>61</v>
      </c>
      <c r="B47" s="204" t="s">
        <v>271</v>
      </c>
      <c r="C47" s="205"/>
      <c r="D47" s="206">
        <v>2.1794871794871793</v>
      </c>
      <c r="E47" s="207">
        <v>102</v>
      </c>
      <c r="F47" s="208">
        <v>109</v>
      </c>
      <c r="G47" s="431">
        <v>55</v>
      </c>
      <c r="H47" s="431">
        <v>71</v>
      </c>
      <c r="I47" s="432">
        <v>60</v>
      </c>
      <c r="J47" s="207">
        <v>42</v>
      </c>
      <c r="K47" s="210">
        <v>70</v>
      </c>
    </row>
    <row r="48" spans="1:11" ht="13.5" customHeight="1" x14ac:dyDescent="0.2">
      <c r="A48" s="203">
        <v>62</v>
      </c>
      <c r="B48" s="204" t="s">
        <v>272</v>
      </c>
      <c r="C48" s="205"/>
      <c r="D48" s="206">
        <v>7.6923076923076925</v>
      </c>
      <c r="E48" s="207">
        <v>360</v>
      </c>
      <c r="F48" s="208">
        <v>442</v>
      </c>
      <c r="G48" s="208">
        <v>379</v>
      </c>
      <c r="H48" s="208">
        <v>454</v>
      </c>
      <c r="I48" s="209">
        <v>368</v>
      </c>
      <c r="J48" s="207">
        <v>-8</v>
      </c>
      <c r="K48" s="210">
        <v>-2.1739130434782608</v>
      </c>
    </row>
    <row r="49" spans="1:11" ht="13.5" customHeight="1" x14ac:dyDescent="0.2">
      <c r="A49" s="203">
        <v>63</v>
      </c>
      <c r="B49" s="204" t="s">
        <v>273</v>
      </c>
      <c r="C49" s="205"/>
      <c r="D49" s="206">
        <v>4.4658119658119659</v>
      </c>
      <c r="E49" s="207">
        <v>209</v>
      </c>
      <c r="F49" s="208">
        <v>252</v>
      </c>
      <c r="G49" s="208">
        <v>237</v>
      </c>
      <c r="H49" s="208">
        <v>224</v>
      </c>
      <c r="I49" s="209">
        <v>193</v>
      </c>
      <c r="J49" s="207">
        <v>16</v>
      </c>
      <c r="K49" s="210">
        <v>8.290155440414507</v>
      </c>
    </row>
    <row r="50" spans="1:11" ht="13.5" customHeight="1" x14ac:dyDescent="0.2">
      <c r="A50" s="203" t="s">
        <v>274</v>
      </c>
      <c r="B50" s="204" t="s">
        <v>275</v>
      </c>
      <c r="C50" s="205"/>
      <c r="D50" s="206">
        <v>0.61965811965811968</v>
      </c>
      <c r="E50" s="430">
        <v>29</v>
      </c>
      <c r="F50" s="431">
        <v>40</v>
      </c>
      <c r="G50" s="431">
        <v>31</v>
      </c>
      <c r="H50" s="431">
        <v>36</v>
      </c>
      <c r="I50" s="432">
        <v>39</v>
      </c>
      <c r="J50" s="207">
        <v>-10</v>
      </c>
      <c r="K50" s="210">
        <v>-25.641025641025642</v>
      </c>
    </row>
    <row r="51" spans="1:11" ht="13.5" customHeight="1" x14ac:dyDescent="0.2">
      <c r="A51" s="203" t="s">
        <v>276</v>
      </c>
      <c r="B51" s="204" t="s">
        <v>277</v>
      </c>
      <c r="C51" s="205"/>
      <c r="D51" s="206">
        <v>3.6111111111111112</v>
      </c>
      <c r="E51" s="207">
        <v>169</v>
      </c>
      <c r="F51" s="208">
        <v>182</v>
      </c>
      <c r="G51" s="208">
        <v>182</v>
      </c>
      <c r="H51" s="208">
        <v>158</v>
      </c>
      <c r="I51" s="209">
        <v>137</v>
      </c>
      <c r="J51" s="207">
        <v>32</v>
      </c>
      <c r="K51" s="210">
        <v>23.357664233576642</v>
      </c>
    </row>
    <row r="52" spans="1:11" ht="13.5" customHeight="1" x14ac:dyDescent="0.2">
      <c r="A52" s="203">
        <v>71</v>
      </c>
      <c r="B52" s="204" t="s">
        <v>278</v>
      </c>
      <c r="C52" s="205"/>
      <c r="D52" s="206">
        <v>6.9017094017094021</v>
      </c>
      <c r="E52" s="207">
        <v>323</v>
      </c>
      <c r="F52" s="208">
        <v>625</v>
      </c>
      <c r="G52" s="208">
        <v>334</v>
      </c>
      <c r="H52" s="208">
        <v>393</v>
      </c>
      <c r="I52" s="209">
        <v>339</v>
      </c>
      <c r="J52" s="207">
        <v>-16</v>
      </c>
      <c r="K52" s="210">
        <v>-4.71976401179941</v>
      </c>
    </row>
    <row r="53" spans="1:11" ht="13.5" customHeight="1" x14ac:dyDescent="0.2">
      <c r="A53" s="203" t="s">
        <v>279</v>
      </c>
      <c r="B53" s="204" t="s">
        <v>280</v>
      </c>
      <c r="C53" s="205"/>
      <c r="D53" s="206">
        <v>1.7948717948717949</v>
      </c>
      <c r="E53" s="430">
        <v>84</v>
      </c>
      <c r="F53" s="208">
        <v>179</v>
      </c>
      <c r="G53" s="431">
        <v>84</v>
      </c>
      <c r="H53" s="208">
        <v>112</v>
      </c>
      <c r="I53" s="432">
        <v>82</v>
      </c>
      <c r="J53" s="207">
        <v>2</v>
      </c>
      <c r="K53" s="210">
        <v>2.4390243902439024</v>
      </c>
    </row>
    <row r="54" spans="1:11" ht="13.5" customHeight="1" x14ac:dyDescent="0.2">
      <c r="A54" s="203" t="s">
        <v>281</v>
      </c>
      <c r="B54" s="204" t="s">
        <v>282</v>
      </c>
      <c r="C54" s="205"/>
      <c r="D54" s="206">
        <v>4.5299145299145298</v>
      </c>
      <c r="E54" s="207">
        <v>212</v>
      </c>
      <c r="F54" s="208">
        <v>370</v>
      </c>
      <c r="G54" s="208">
        <v>217</v>
      </c>
      <c r="H54" s="208">
        <v>250</v>
      </c>
      <c r="I54" s="209">
        <v>228</v>
      </c>
      <c r="J54" s="207">
        <v>-16</v>
      </c>
      <c r="K54" s="210">
        <v>-7.0175438596491224</v>
      </c>
    </row>
    <row r="55" spans="1:11" ht="13.5" customHeight="1" x14ac:dyDescent="0.2">
      <c r="A55" s="203">
        <v>72</v>
      </c>
      <c r="B55" s="204" t="s">
        <v>283</v>
      </c>
      <c r="C55" s="205"/>
      <c r="D55" s="206">
        <v>1.4529914529914529</v>
      </c>
      <c r="E55" s="430">
        <v>68</v>
      </c>
      <c r="F55" s="208">
        <v>120</v>
      </c>
      <c r="G55" s="431">
        <v>74</v>
      </c>
      <c r="H55" s="208">
        <v>100</v>
      </c>
      <c r="I55" s="432">
        <v>88</v>
      </c>
      <c r="J55" s="207">
        <v>-20</v>
      </c>
      <c r="K55" s="210">
        <v>-22.727272727272727</v>
      </c>
    </row>
    <row r="56" spans="1:11" ht="13.5" customHeight="1" x14ac:dyDescent="0.2">
      <c r="A56" s="203" t="s">
        <v>284</v>
      </c>
      <c r="B56" s="204" t="s">
        <v>285</v>
      </c>
      <c r="C56" s="205"/>
      <c r="D56" s="206">
        <v>0.55555555555555558</v>
      </c>
      <c r="E56" s="430">
        <v>26</v>
      </c>
      <c r="F56" s="431">
        <v>28</v>
      </c>
      <c r="G56" s="431">
        <v>27</v>
      </c>
      <c r="H56" s="431">
        <v>35</v>
      </c>
      <c r="I56" s="432">
        <v>29</v>
      </c>
      <c r="J56" s="207">
        <v>-3</v>
      </c>
      <c r="K56" s="210">
        <v>-10.344827586206897</v>
      </c>
    </row>
    <row r="57" spans="1:11" ht="13.5" customHeight="1" x14ac:dyDescent="0.2">
      <c r="A57" s="203" t="s">
        <v>286</v>
      </c>
      <c r="B57" s="204" t="s">
        <v>287</v>
      </c>
      <c r="C57" s="205"/>
      <c r="D57" s="206">
        <v>0.55555555555555558</v>
      </c>
      <c r="E57" s="430">
        <v>26</v>
      </c>
      <c r="F57" s="431">
        <v>75</v>
      </c>
      <c r="G57" s="431">
        <v>32</v>
      </c>
      <c r="H57" s="431">
        <v>53</v>
      </c>
      <c r="I57" s="432">
        <v>35</v>
      </c>
      <c r="J57" s="207">
        <v>-9</v>
      </c>
      <c r="K57" s="210">
        <v>-25.714285714285715</v>
      </c>
    </row>
    <row r="58" spans="1:11" ht="13.5" customHeight="1" x14ac:dyDescent="0.2">
      <c r="A58" s="203">
        <v>73</v>
      </c>
      <c r="B58" s="204" t="s">
        <v>288</v>
      </c>
      <c r="C58" s="205"/>
      <c r="D58" s="206">
        <v>1.0042735042735043</v>
      </c>
      <c r="E58" s="430">
        <v>47</v>
      </c>
      <c r="F58" s="208">
        <v>106</v>
      </c>
      <c r="G58" s="431">
        <v>40</v>
      </c>
      <c r="H58" s="431">
        <v>97</v>
      </c>
      <c r="I58" s="432">
        <v>59</v>
      </c>
      <c r="J58" s="207">
        <v>-12</v>
      </c>
      <c r="K58" s="210">
        <v>-20.338983050847457</v>
      </c>
    </row>
    <row r="59" spans="1:11" ht="13.5" customHeight="1" x14ac:dyDescent="0.2">
      <c r="A59" s="203" t="s">
        <v>289</v>
      </c>
      <c r="B59" s="204" t="s">
        <v>290</v>
      </c>
      <c r="C59" s="205"/>
      <c r="D59" s="206">
        <v>0.87606837606837606</v>
      </c>
      <c r="E59" s="430">
        <v>41</v>
      </c>
      <c r="F59" s="431">
        <v>99</v>
      </c>
      <c r="G59" s="431">
        <v>28</v>
      </c>
      <c r="H59" s="431">
        <v>84</v>
      </c>
      <c r="I59" s="432">
        <v>48</v>
      </c>
      <c r="J59" s="207">
        <v>-7</v>
      </c>
      <c r="K59" s="210">
        <v>-14.583333333333334</v>
      </c>
    </row>
    <row r="60" spans="1:11" ht="13.5" customHeight="1" x14ac:dyDescent="0.2">
      <c r="A60" s="203">
        <v>81</v>
      </c>
      <c r="B60" s="204" t="s">
        <v>291</v>
      </c>
      <c r="C60" s="205"/>
      <c r="D60" s="206">
        <v>8.3760683760683765</v>
      </c>
      <c r="E60" s="207">
        <v>392</v>
      </c>
      <c r="F60" s="208">
        <v>451</v>
      </c>
      <c r="G60" s="208">
        <v>307</v>
      </c>
      <c r="H60" s="208">
        <v>542</v>
      </c>
      <c r="I60" s="209">
        <v>426</v>
      </c>
      <c r="J60" s="207">
        <v>-34</v>
      </c>
      <c r="K60" s="210">
        <v>-7.981220657276995</v>
      </c>
    </row>
    <row r="61" spans="1:11" ht="13.5" customHeight="1" x14ac:dyDescent="0.2">
      <c r="A61" s="203" t="s">
        <v>292</v>
      </c>
      <c r="B61" s="204" t="s">
        <v>293</v>
      </c>
      <c r="C61" s="205"/>
      <c r="D61" s="206">
        <v>2.1367521367521367</v>
      </c>
      <c r="E61" s="207">
        <v>100</v>
      </c>
      <c r="F61" s="431">
        <v>72</v>
      </c>
      <c r="G61" s="431">
        <v>50</v>
      </c>
      <c r="H61" s="431">
        <v>68</v>
      </c>
      <c r="I61" s="432">
        <v>66</v>
      </c>
      <c r="J61" s="207">
        <v>34</v>
      </c>
      <c r="K61" s="210">
        <v>51.515151515151516</v>
      </c>
    </row>
    <row r="62" spans="1:11" ht="13.5" customHeight="1" x14ac:dyDescent="0.2">
      <c r="A62" s="203" t="s">
        <v>294</v>
      </c>
      <c r="B62" s="204" t="s">
        <v>365</v>
      </c>
      <c r="C62" s="205"/>
      <c r="D62" s="206">
        <v>4.1452991452991457</v>
      </c>
      <c r="E62" s="207">
        <v>194</v>
      </c>
      <c r="F62" s="208">
        <v>247</v>
      </c>
      <c r="G62" s="208">
        <v>190</v>
      </c>
      <c r="H62" s="208">
        <v>356</v>
      </c>
      <c r="I62" s="209">
        <v>218</v>
      </c>
      <c r="J62" s="207">
        <v>-24</v>
      </c>
      <c r="K62" s="210">
        <v>-11.009174311926605</v>
      </c>
    </row>
    <row r="63" spans="1:11" ht="13.5" customHeight="1" x14ac:dyDescent="0.2">
      <c r="A63" s="203" t="s">
        <v>296</v>
      </c>
      <c r="B63" s="204" t="s">
        <v>297</v>
      </c>
      <c r="C63" s="205"/>
      <c r="D63" s="206">
        <v>0.59829059829059827</v>
      </c>
      <c r="E63" s="430">
        <v>28</v>
      </c>
      <c r="F63" s="431">
        <v>50</v>
      </c>
      <c r="G63" s="431">
        <v>28</v>
      </c>
      <c r="H63" s="431">
        <v>43</v>
      </c>
      <c r="I63" s="432">
        <v>55</v>
      </c>
      <c r="J63" s="207">
        <v>-27</v>
      </c>
      <c r="K63" s="210">
        <v>-49.090909090909093</v>
      </c>
    </row>
    <row r="64" spans="1:11" ht="13.5" customHeight="1" x14ac:dyDescent="0.2">
      <c r="A64" s="203" t="s">
        <v>298</v>
      </c>
      <c r="B64" s="204" t="s">
        <v>299</v>
      </c>
      <c r="C64" s="205"/>
      <c r="D64" s="206">
        <v>0.61965811965811968</v>
      </c>
      <c r="E64" s="430">
        <v>29</v>
      </c>
      <c r="F64" s="431">
        <v>55</v>
      </c>
      <c r="G64" s="431">
        <v>20</v>
      </c>
      <c r="H64" s="431">
        <v>45</v>
      </c>
      <c r="I64" s="432">
        <v>64</v>
      </c>
      <c r="J64" s="207">
        <v>-35</v>
      </c>
      <c r="K64" s="210">
        <v>-54.6875</v>
      </c>
    </row>
    <row r="65" spans="1:11" ht="13.5" customHeight="1" x14ac:dyDescent="0.2">
      <c r="A65" s="203">
        <v>82</v>
      </c>
      <c r="B65" s="204" t="s">
        <v>300</v>
      </c>
      <c r="C65" s="205"/>
      <c r="D65" s="206">
        <v>4.9786324786324787</v>
      </c>
      <c r="E65" s="207">
        <v>233</v>
      </c>
      <c r="F65" s="208">
        <v>250</v>
      </c>
      <c r="G65" s="208">
        <v>214</v>
      </c>
      <c r="H65" s="208">
        <v>321</v>
      </c>
      <c r="I65" s="209">
        <v>330</v>
      </c>
      <c r="J65" s="207">
        <v>-97</v>
      </c>
      <c r="K65" s="210">
        <v>-29.393939393939394</v>
      </c>
    </row>
    <row r="66" spans="1:11" ht="13.5" customHeight="1" x14ac:dyDescent="0.2">
      <c r="A66" s="203" t="s">
        <v>301</v>
      </c>
      <c r="B66" s="204" t="s">
        <v>551</v>
      </c>
      <c r="C66" s="205"/>
      <c r="D66" s="206">
        <v>4.316239316239316</v>
      </c>
      <c r="E66" s="207">
        <v>202</v>
      </c>
      <c r="F66" s="208">
        <v>189</v>
      </c>
      <c r="G66" s="208">
        <v>177</v>
      </c>
      <c r="H66" s="208">
        <v>279</v>
      </c>
      <c r="I66" s="209">
        <v>275</v>
      </c>
      <c r="J66" s="207">
        <v>-73</v>
      </c>
      <c r="K66" s="210">
        <v>-26.545454545454547</v>
      </c>
    </row>
    <row r="67" spans="1:11" ht="13.5" customHeight="1" x14ac:dyDescent="0.2">
      <c r="A67" s="203" t="s">
        <v>302</v>
      </c>
      <c r="B67" s="204" t="s">
        <v>303</v>
      </c>
      <c r="C67" s="205"/>
      <c r="D67" s="206">
        <v>0.32051282051282054</v>
      </c>
      <c r="E67" s="430">
        <v>15</v>
      </c>
      <c r="F67" s="431">
        <v>19</v>
      </c>
      <c r="G67" s="431">
        <v>18</v>
      </c>
      <c r="H67" s="431">
        <v>22</v>
      </c>
      <c r="I67" s="432">
        <v>27</v>
      </c>
      <c r="J67" s="207">
        <v>-12</v>
      </c>
      <c r="K67" s="210">
        <v>-44.444444444444443</v>
      </c>
    </row>
    <row r="68" spans="1:11" ht="13.5" customHeight="1" x14ac:dyDescent="0.2">
      <c r="A68" s="203">
        <v>83</v>
      </c>
      <c r="B68" s="204" t="s">
        <v>304</v>
      </c>
      <c r="C68" s="205"/>
      <c r="D68" s="206">
        <v>4.9358974358974361</v>
      </c>
      <c r="E68" s="207">
        <v>231</v>
      </c>
      <c r="F68" s="208">
        <v>336</v>
      </c>
      <c r="G68" s="208">
        <v>227</v>
      </c>
      <c r="H68" s="208">
        <v>421</v>
      </c>
      <c r="I68" s="209">
        <v>262</v>
      </c>
      <c r="J68" s="207">
        <v>-31</v>
      </c>
      <c r="K68" s="210">
        <v>-11.83206106870229</v>
      </c>
    </row>
    <row r="69" spans="1:11" ht="13.5" customHeight="1" x14ac:dyDescent="0.2">
      <c r="A69" s="203" t="s">
        <v>305</v>
      </c>
      <c r="B69" s="204" t="s">
        <v>306</v>
      </c>
      <c r="C69" s="205"/>
      <c r="D69" s="206">
        <v>3.9102564102564101</v>
      </c>
      <c r="E69" s="207">
        <v>183</v>
      </c>
      <c r="F69" s="208">
        <v>268</v>
      </c>
      <c r="G69" s="208">
        <v>157</v>
      </c>
      <c r="H69" s="208">
        <v>351</v>
      </c>
      <c r="I69" s="209">
        <v>209</v>
      </c>
      <c r="J69" s="207">
        <v>-26</v>
      </c>
      <c r="K69" s="210">
        <v>-12.440191387559809</v>
      </c>
    </row>
    <row r="70" spans="1:11" ht="13.5" customHeight="1" x14ac:dyDescent="0.2">
      <c r="A70" s="203"/>
      <c r="B70" s="204" t="s">
        <v>307</v>
      </c>
      <c r="C70" s="205"/>
      <c r="D70" s="206">
        <v>1.4529914529914529</v>
      </c>
      <c r="E70" s="430">
        <v>68</v>
      </c>
      <c r="F70" s="208">
        <v>110</v>
      </c>
      <c r="G70" s="431">
        <v>61</v>
      </c>
      <c r="H70" s="208">
        <v>210</v>
      </c>
      <c r="I70" s="432">
        <v>91</v>
      </c>
      <c r="J70" s="207">
        <v>-23</v>
      </c>
      <c r="K70" s="210">
        <v>-25.274725274725274</v>
      </c>
    </row>
    <row r="71" spans="1:11" ht="13.5" customHeight="1" x14ac:dyDescent="0.2">
      <c r="A71" s="203">
        <v>84</v>
      </c>
      <c r="B71" s="204" t="s">
        <v>308</v>
      </c>
      <c r="C71" s="205"/>
      <c r="D71" s="206">
        <v>3.3119658119658117</v>
      </c>
      <c r="E71" s="207">
        <v>155</v>
      </c>
      <c r="F71" s="208">
        <v>148</v>
      </c>
      <c r="G71" s="431">
        <v>84</v>
      </c>
      <c r="H71" s="208">
        <v>215</v>
      </c>
      <c r="I71" s="432">
        <v>89</v>
      </c>
      <c r="J71" s="207">
        <v>66</v>
      </c>
      <c r="K71" s="210">
        <v>74.157303370786522</v>
      </c>
    </row>
    <row r="72" spans="1:11" ht="13.5" customHeight="1" x14ac:dyDescent="0.2">
      <c r="A72" s="203" t="s">
        <v>309</v>
      </c>
      <c r="B72" s="204" t="s">
        <v>310</v>
      </c>
      <c r="C72" s="205"/>
      <c r="D72" s="206">
        <v>1.8162393162393162</v>
      </c>
      <c r="E72" s="430">
        <v>85</v>
      </c>
      <c r="F72" s="431">
        <v>46</v>
      </c>
      <c r="G72" s="431">
        <v>30</v>
      </c>
      <c r="H72" s="208">
        <v>135</v>
      </c>
      <c r="I72" s="432">
        <v>47</v>
      </c>
      <c r="J72" s="207">
        <v>38</v>
      </c>
      <c r="K72" s="210">
        <v>80.851063829787236</v>
      </c>
    </row>
    <row r="73" spans="1:11" ht="13.5" customHeight="1" x14ac:dyDescent="0.2">
      <c r="A73" s="203" t="s">
        <v>311</v>
      </c>
      <c r="B73" s="204" t="s">
        <v>312</v>
      </c>
      <c r="C73" s="205"/>
      <c r="D73" s="206">
        <v>0.23504273504273504</v>
      </c>
      <c r="E73" s="430">
        <v>11</v>
      </c>
      <c r="F73" s="431">
        <v>27</v>
      </c>
      <c r="G73" s="431">
        <v>10</v>
      </c>
      <c r="H73" s="431">
        <v>27</v>
      </c>
      <c r="I73" s="432">
        <v>7</v>
      </c>
      <c r="J73" s="207">
        <v>4</v>
      </c>
      <c r="K73" s="210">
        <v>57.142857142857146</v>
      </c>
    </row>
    <row r="74" spans="1:11" s="60" customFormat="1" ht="13.5" customHeight="1" x14ac:dyDescent="0.2">
      <c r="A74" s="203" t="s">
        <v>313</v>
      </c>
      <c r="B74" s="204" t="s">
        <v>314</v>
      </c>
      <c r="C74" s="205"/>
      <c r="D74" s="206">
        <v>0.51282051282051277</v>
      </c>
      <c r="E74" s="430">
        <v>24</v>
      </c>
      <c r="F74" s="431">
        <v>34</v>
      </c>
      <c r="G74" s="431">
        <v>21</v>
      </c>
      <c r="H74" s="431">
        <v>22</v>
      </c>
      <c r="I74" s="432">
        <v>19</v>
      </c>
      <c r="J74" s="207">
        <v>5</v>
      </c>
      <c r="K74" s="210">
        <v>26.315789473684209</v>
      </c>
    </row>
    <row r="75" spans="1:11" s="87" customFormat="1" ht="13.5" customHeight="1" x14ac:dyDescent="0.2">
      <c r="A75" s="203">
        <v>91</v>
      </c>
      <c r="B75" s="204" t="s">
        <v>315</v>
      </c>
      <c r="C75" s="205"/>
      <c r="D75" s="206">
        <v>6.4102564102564097E-2</v>
      </c>
      <c r="E75" s="430">
        <v>3</v>
      </c>
      <c r="F75" s="208" t="s">
        <v>548</v>
      </c>
      <c r="G75" s="208" t="s">
        <v>548</v>
      </c>
      <c r="H75" s="431">
        <v>11</v>
      </c>
      <c r="I75" s="432">
        <v>10</v>
      </c>
      <c r="J75" s="207">
        <v>-7</v>
      </c>
      <c r="K75" s="210">
        <v>-70</v>
      </c>
    </row>
    <row r="76" spans="1:11" s="87" customFormat="1" ht="13.5" customHeight="1" x14ac:dyDescent="0.2">
      <c r="A76" s="203">
        <v>92</v>
      </c>
      <c r="B76" s="204" t="s">
        <v>316</v>
      </c>
      <c r="C76" s="205"/>
      <c r="D76" s="206">
        <v>1.0256410256410255</v>
      </c>
      <c r="E76" s="430">
        <v>48</v>
      </c>
      <c r="F76" s="431">
        <v>56</v>
      </c>
      <c r="G76" s="431">
        <v>67</v>
      </c>
      <c r="H76" s="431">
        <v>89</v>
      </c>
      <c r="I76" s="432">
        <v>77</v>
      </c>
      <c r="J76" s="207">
        <v>-29</v>
      </c>
      <c r="K76" s="210">
        <v>-37.662337662337663</v>
      </c>
    </row>
    <row r="77" spans="1:11" s="60" customFormat="1" ht="13.5" customHeight="1" x14ac:dyDescent="0.2">
      <c r="A77" s="203">
        <v>93</v>
      </c>
      <c r="B77" s="204" t="s">
        <v>317</v>
      </c>
      <c r="C77" s="205"/>
      <c r="D77" s="206">
        <v>0.17094017094017094</v>
      </c>
      <c r="E77" s="430">
        <v>8</v>
      </c>
      <c r="F77" s="431">
        <v>21</v>
      </c>
      <c r="G77" s="431">
        <v>12</v>
      </c>
      <c r="H77" s="431">
        <v>12</v>
      </c>
      <c r="I77" s="432">
        <v>12</v>
      </c>
      <c r="J77" s="207">
        <v>-4</v>
      </c>
      <c r="K77" s="210">
        <v>-33.333333333333336</v>
      </c>
    </row>
    <row r="78" spans="1:11" s="274" customFormat="1" ht="13.5" customHeight="1" x14ac:dyDescent="0.2">
      <c r="A78" s="203">
        <v>94</v>
      </c>
      <c r="B78" s="204" t="s">
        <v>318</v>
      </c>
      <c r="C78" s="205"/>
      <c r="D78" s="206">
        <v>1.3888888888888888</v>
      </c>
      <c r="E78" s="430">
        <v>65</v>
      </c>
      <c r="F78" s="431">
        <v>29</v>
      </c>
      <c r="G78" s="431">
        <v>75</v>
      </c>
      <c r="H78" s="431">
        <v>66</v>
      </c>
      <c r="I78" s="432">
        <v>93</v>
      </c>
      <c r="J78" s="207">
        <v>-28</v>
      </c>
      <c r="K78" s="210">
        <v>-30.107526881720432</v>
      </c>
    </row>
    <row r="79" spans="1:11" s="60" customFormat="1" ht="13.5" customHeight="1" x14ac:dyDescent="0.2">
      <c r="A79" s="217" t="s">
        <v>319</v>
      </c>
      <c r="B79" s="218" t="s">
        <v>320</v>
      </c>
      <c r="C79" s="219"/>
      <c r="D79" s="220">
        <v>0.32051282051282054</v>
      </c>
      <c r="E79" s="433">
        <v>15</v>
      </c>
      <c r="F79" s="434">
        <v>22</v>
      </c>
      <c r="G79" s="434">
        <v>20</v>
      </c>
      <c r="H79" s="434">
        <v>43</v>
      </c>
      <c r="I79" s="435">
        <v>20</v>
      </c>
      <c r="J79" s="221">
        <v>-5</v>
      </c>
      <c r="K79" s="429">
        <v>-25</v>
      </c>
    </row>
    <row r="80" spans="1:11" s="60" customFormat="1" ht="12.75" customHeight="1" x14ac:dyDescent="0.2">
      <c r="K80" s="88" t="s">
        <v>37</v>
      </c>
    </row>
    <row r="81" spans="1:11" s="60" customFormat="1" ht="15.75" customHeight="1" x14ac:dyDescent="0.2">
      <c r="A81" s="87" t="s">
        <v>116</v>
      </c>
      <c r="B81" s="87"/>
      <c r="C81" s="87"/>
      <c r="D81" s="87"/>
      <c r="E81" s="87"/>
      <c r="F81" s="87"/>
      <c r="G81" s="87"/>
      <c r="H81" s="87"/>
      <c r="I81" s="87"/>
      <c r="J81" s="87"/>
      <c r="K81" s="87"/>
    </row>
    <row r="82" spans="1:11" ht="21" customHeight="1" x14ac:dyDescent="0.2">
      <c r="A82" s="440" t="s">
        <v>366</v>
      </c>
      <c r="B82" s="440"/>
      <c r="C82" s="440"/>
      <c r="D82" s="440"/>
      <c r="E82" s="440"/>
      <c r="F82" s="440"/>
      <c r="G82" s="440"/>
      <c r="H82" s="440"/>
      <c r="I82" s="440"/>
      <c r="J82" s="440"/>
      <c r="K82" s="440"/>
    </row>
    <row r="83" spans="1:11" ht="21" customHeight="1" x14ac:dyDescent="0.2">
      <c r="A83" s="512" t="s">
        <v>374</v>
      </c>
      <c r="B83" s="512"/>
      <c r="C83" s="512"/>
      <c r="D83" s="512"/>
      <c r="E83" s="512"/>
      <c r="F83" s="512"/>
      <c r="G83" s="512"/>
      <c r="H83" s="512"/>
      <c r="I83" s="512"/>
      <c r="J83" s="512"/>
      <c r="K83" s="512"/>
    </row>
    <row r="84" spans="1:11" ht="21" customHeight="1" x14ac:dyDescent="0.2">
      <c r="A84" s="440" t="s">
        <v>323</v>
      </c>
      <c r="B84" s="440"/>
      <c r="C84" s="440"/>
      <c r="D84" s="440"/>
      <c r="E84" s="440"/>
      <c r="F84" s="440"/>
      <c r="G84" s="440"/>
      <c r="H84" s="440"/>
      <c r="I84" s="440"/>
      <c r="J84" s="440"/>
      <c r="K84" s="440"/>
    </row>
    <row r="85" spans="1:11" ht="15.75" customHeight="1" x14ac:dyDescent="0.2">
      <c r="A85" s="440" t="s">
        <v>368</v>
      </c>
      <c r="B85" s="440"/>
      <c r="C85" s="440"/>
      <c r="D85" s="440"/>
      <c r="E85" s="440"/>
      <c r="F85" s="440"/>
      <c r="G85" s="440"/>
      <c r="H85" s="440"/>
      <c r="I85" s="440"/>
      <c r="J85" s="440"/>
      <c r="K85" s="440"/>
    </row>
    <row r="86" spans="1:11" ht="15.75" customHeight="1" x14ac:dyDescent="0.2">
      <c r="A86" s="440" t="s">
        <v>324</v>
      </c>
      <c r="B86" s="440"/>
      <c r="C86" s="440"/>
      <c r="D86" s="440"/>
      <c r="E86" s="440"/>
      <c r="F86" s="440"/>
      <c r="G86" s="440"/>
      <c r="H86" s="440"/>
      <c r="I86" s="440"/>
      <c r="J86" s="440"/>
      <c r="K86" s="440"/>
    </row>
    <row r="87" spans="1:11" ht="15.75" customHeight="1" x14ac:dyDescent="0.2">
      <c r="A87" s="60"/>
      <c r="B87" s="60"/>
      <c r="C87" s="60"/>
      <c r="D87" s="60"/>
      <c r="E87" s="60"/>
      <c r="F87" s="60"/>
      <c r="G87" s="60"/>
      <c r="H87" s="60"/>
      <c r="I87" s="60"/>
      <c r="J87" s="60"/>
      <c r="K87" s="60"/>
    </row>
    <row r="88" spans="1:11" ht="15.75" customHeight="1" x14ac:dyDescent="0.2">
      <c r="D88" s="37"/>
      <c r="E88" s="37"/>
      <c r="F88" s="37"/>
      <c r="G88" s="37"/>
      <c r="H88" s="37"/>
      <c r="I88" s="37"/>
      <c r="J88" s="37"/>
      <c r="K88" s="37"/>
    </row>
    <row r="89" spans="1:11" ht="15.75" customHeight="1" x14ac:dyDescent="0.2">
      <c r="D89" s="37"/>
      <c r="E89" s="37"/>
      <c r="F89" s="37"/>
      <c r="G89" s="37"/>
      <c r="H89" s="37"/>
      <c r="I89" s="37"/>
      <c r="J89" s="37"/>
      <c r="K89" s="37"/>
    </row>
    <row r="90" spans="1:11" ht="15.75" customHeight="1" x14ac:dyDescent="0.2">
      <c r="D90" s="37"/>
      <c r="E90" s="37"/>
      <c r="F90" s="37"/>
      <c r="G90" s="37"/>
      <c r="H90" s="37"/>
      <c r="I90" s="37"/>
      <c r="J90" s="37"/>
      <c r="K90" s="37"/>
    </row>
    <row r="91" spans="1:11" ht="15.75" customHeight="1" x14ac:dyDescent="0.2">
      <c r="D91" s="37"/>
      <c r="E91" s="37"/>
      <c r="F91" s="37"/>
      <c r="G91" s="37"/>
      <c r="H91" s="37"/>
      <c r="I91" s="37"/>
      <c r="J91" s="37"/>
      <c r="K91" s="37"/>
    </row>
    <row r="92" spans="1:11" ht="15.75" customHeight="1" x14ac:dyDescent="0.2">
      <c r="D92" s="37"/>
      <c r="E92" s="37"/>
      <c r="F92" s="37"/>
      <c r="G92" s="37"/>
      <c r="H92" s="37"/>
      <c r="I92" s="37"/>
      <c r="J92" s="37"/>
      <c r="K92" s="37"/>
    </row>
    <row r="93" spans="1:11" ht="16" customHeight="1" x14ac:dyDescent="0.2">
      <c r="D93" s="37"/>
      <c r="E93" s="37"/>
      <c r="F93" s="37"/>
      <c r="G93" s="37"/>
      <c r="H93" s="37"/>
      <c r="I93" s="37"/>
      <c r="J93" s="37"/>
      <c r="K93" s="37"/>
    </row>
    <row r="94" spans="1:11" ht="16" customHeight="1" x14ac:dyDescent="0.2">
      <c r="D94" s="37"/>
      <c r="E94" s="37"/>
      <c r="F94" s="37"/>
      <c r="G94" s="37"/>
      <c r="H94" s="37"/>
      <c r="I94" s="37"/>
      <c r="J94" s="37"/>
      <c r="K94" s="37"/>
    </row>
    <row r="95" spans="1:11" ht="16" customHeight="1" x14ac:dyDescent="0.2">
      <c r="D95" s="37"/>
      <c r="E95" s="37"/>
      <c r="F95" s="37"/>
      <c r="G95" s="37"/>
      <c r="H95" s="37"/>
      <c r="I95" s="37"/>
      <c r="J95" s="37"/>
      <c r="K95" s="37"/>
    </row>
    <row r="96" spans="1:11" ht="16" customHeight="1" x14ac:dyDescent="0.2">
      <c r="D96" s="37"/>
      <c r="E96" s="37"/>
      <c r="F96" s="37"/>
      <c r="G96" s="37"/>
      <c r="H96" s="37"/>
      <c r="I96" s="37"/>
      <c r="J96" s="37"/>
      <c r="K96" s="37"/>
    </row>
    <row r="97" s="37" customFormat="1" ht="16" customHeight="1" x14ac:dyDescent="0.2"/>
    <row r="98" s="37" customFormat="1" ht="16" customHeight="1" x14ac:dyDescent="0.2"/>
    <row r="99" s="37" customFormat="1" ht="16" customHeight="1" x14ac:dyDescent="0.2"/>
    <row r="100" s="37" customFormat="1" ht="16" customHeight="1" x14ac:dyDescent="0.2"/>
    <row r="101" s="37" customFormat="1" ht="16" customHeight="1" x14ac:dyDescent="0.2"/>
    <row r="102" s="37" customFormat="1" ht="16" customHeight="1" x14ac:dyDescent="0.2"/>
    <row r="103" s="37" customFormat="1" ht="16" customHeight="1" x14ac:dyDescent="0.2"/>
    <row r="104" s="37" customFormat="1" ht="16" customHeight="1" x14ac:dyDescent="0.2"/>
    <row r="105" s="37" customFormat="1" ht="16" customHeight="1" x14ac:dyDescent="0.2"/>
    <row r="106" s="37" customFormat="1" ht="16" customHeight="1" x14ac:dyDescent="0.2"/>
    <row r="107" s="37" customFormat="1" ht="16" customHeight="1" x14ac:dyDescent="0.2"/>
    <row r="108" s="37" customFormat="1" ht="16" customHeight="1" x14ac:dyDescent="0.2"/>
    <row r="109" s="37" customFormat="1" ht="16" customHeight="1" x14ac:dyDescent="0.2"/>
    <row r="110" s="37" customFormat="1" ht="16" customHeight="1" x14ac:dyDescent="0.2"/>
    <row r="111" s="37" customFormat="1" ht="16" customHeight="1" x14ac:dyDescent="0.2"/>
    <row r="112" s="37" customFormat="1" ht="16" customHeight="1" x14ac:dyDescent="0.2"/>
    <row r="113" s="37" customFormat="1" ht="16" customHeight="1" x14ac:dyDescent="0.2"/>
    <row r="114" s="37" customFormat="1" ht="16" customHeight="1" x14ac:dyDescent="0.2"/>
    <row r="115" s="37" customFormat="1" ht="16" customHeight="1" x14ac:dyDescent="0.2"/>
    <row r="116" s="37" customFormat="1" ht="16" customHeight="1" x14ac:dyDescent="0.2"/>
    <row r="117" s="37" customFormat="1" ht="16" customHeight="1" x14ac:dyDescent="0.2"/>
    <row r="118" s="37" customFormat="1" ht="16" customHeight="1" x14ac:dyDescent="0.2"/>
    <row r="119" s="37" customFormat="1" ht="16" customHeight="1" x14ac:dyDescent="0.2"/>
    <row r="120" s="37" customFormat="1" ht="16" customHeight="1" x14ac:dyDescent="0.2"/>
    <row r="121" s="37" customFormat="1" ht="16" customHeight="1" x14ac:dyDescent="0.2"/>
    <row r="122" s="37" customFormat="1" ht="16" customHeight="1" x14ac:dyDescent="0.2"/>
    <row r="123" s="37" customFormat="1" ht="16" customHeight="1" x14ac:dyDescent="0.2"/>
    <row r="124" s="37" customFormat="1" ht="16" customHeight="1" x14ac:dyDescent="0.2"/>
    <row r="125" s="37" customFormat="1" ht="16" customHeight="1" x14ac:dyDescent="0.2"/>
    <row r="126" s="37" customFormat="1" ht="16" customHeight="1" x14ac:dyDescent="0.2"/>
    <row r="127" s="37" customFormat="1" ht="16" customHeight="1" x14ac:dyDescent="0.2"/>
    <row r="128" s="37" customFormat="1" ht="16" customHeight="1" x14ac:dyDescent="0.2"/>
    <row r="129" s="37" customFormat="1" ht="16" customHeight="1" x14ac:dyDescent="0.2"/>
    <row r="130" s="37" customFormat="1" ht="16" customHeight="1" x14ac:dyDescent="0.2"/>
    <row r="131" s="37" customFormat="1" ht="16" customHeight="1" x14ac:dyDescent="0.2"/>
    <row r="132" s="37" customFormat="1" ht="16" customHeight="1" x14ac:dyDescent="0.2"/>
    <row r="133" s="37" customFormat="1" ht="16" customHeight="1" x14ac:dyDescent="0.2"/>
    <row r="134" s="37" customFormat="1" ht="16" customHeight="1" x14ac:dyDescent="0.2"/>
    <row r="135" s="37" customFormat="1" ht="16" customHeight="1" x14ac:dyDescent="0.2"/>
    <row r="136" s="37" customFormat="1" ht="16" customHeight="1" x14ac:dyDescent="0.2"/>
    <row r="137" s="37" customFormat="1" ht="16" customHeight="1" x14ac:dyDescent="0.2"/>
    <row r="138" s="37" customFormat="1" ht="16" customHeight="1" x14ac:dyDescent="0.2"/>
    <row r="139" s="37" customFormat="1" ht="16" customHeight="1" x14ac:dyDescent="0.2"/>
    <row r="140" s="37" customFormat="1" ht="16" customHeight="1" x14ac:dyDescent="0.2"/>
    <row r="141" s="37" customFormat="1" ht="16" customHeight="1" x14ac:dyDescent="0.2"/>
    <row r="142" s="37" customFormat="1" ht="16" customHeight="1" x14ac:dyDescent="0.2"/>
    <row r="143" s="37" customFormat="1" ht="16" customHeight="1" x14ac:dyDescent="0.2"/>
    <row r="144" s="37" customFormat="1" ht="16" customHeight="1" x14ac:dyDescent="0.2"/>
    <row r="145" s="37" customFormat="1" ht="16" customHeight="1" x14ac:dyDescent="0.2"/>
    <row r="146" s="37" customFormat="1" ht="16" customHeight="1" x14ac:dyDescent="0.2"/>
    <row r="147" s="37" customFormat="1" ht="16" customHeight="1" x14ac:dyDescent="0.2"/>
    <row r="148" s="37" customFormat="1" ht="16" customHeight="1" x14ac:dyDescent="0.2"/>
    <row r="149" s="37" customFormat="1" ht="16" customHeight="1" x14ac:dyDescent="0.2"/>
    <row r="150" s="37" customFormat="1" ht="16" customHeight="1" x14ac:dyDescent="0.2"/>
    <row r="151" s="37" customFormat="1" ht="16" customHeight="1" x14ac:dyDescent="0.2"/>
    <row r="152" s="37" customFormat="1" ht="16" customHeight="1" x14ac:dyDescent="0.2"/>
    <row r="153" s="37" customFormat="1" ht="16" customHeight="1" x14ac:dyDescent="0.2"/>
    <row r="154" s="37" customFormat="1" ht="16" customHeight="1" x14ac:dyDescent="0.2"/>
    <row r="155" s="37" customFormat="1" ht="16" customHeight="1" x14ac:dyDescent="0.2"/>
    <row r="156" s="37" customFormat="1" ht="16" customHeight="1" x14ac:dyDescent="0.2"/>
    <row r="157" s="37" customFormat="1" ht="16" customHeight="1" x14ac:dyDescent="0.2"/>
    <row r="158" s="37" customFormat="1" ht="16" customHeight="1" x14ac:dyDescent="0.2"/>
    <row r="159" s="37" customFormat="1" ht="16" customHeight="1" x14ac:dyDescent="0.2"/>
    <row r="160" s="37" customFormat="1" ht="16" customHeight="1" x14ac:dyDescent="0.2"/>
    <row r="161" s="37" customFormat="1" ht="16" customHeight="1" x14ac:dyDescent="0.2"/>
    <row r="162" s="37" customFormat="1" ht="16" customHeight="1" x14ac:dyDescent="0.2"/>
    <row r="163" s="37" customFormat="1" ht="16" customHeight="1" x14ac:dyDescent="0.2"/>
    <row r="164" s="37" customFormat="1" ht="16" customHeight="1" x14ac:dyDescent="0.2"/>
    <row r="165" s="37" customFormat="1" ht="16" customHeight="1" x14ac:dyDescent="0.2"/>
    <row r="166" s="37" customFormat="1" ht="16" customHeight="1" x14ac:dyDescent="0.2"/>
    <row r="167" s="37" customFormat="1" ht="16" customHeight="1" x14ac:dyDescent="0.2"/>
    <row r="168" s="37" customFormat="1" ht="16" customHeight="1" x14ac:dyDescent="0.2"/>
    <row r="169" s="37" customFormat="1" ht="16" customHeight="1" x14ac:dyDescent="0.2"/>
    <row r="170" s="37" customFormat="1" ht="16" customHeight="1" x14ac:dyDescent="0.2"/>
    <row r="171" s="37" customFormat="1" ht="16" customHeight="1" x14ac:dyDescent="0.2"/>
    <row r="172" s="37" customFormat="1" ht="16" customHeight="1" x14ac:dyDescent="0.2"/>
    <row r="173" s="37" customFormat="1" ht="16" customHeight="1" x14ac:dyDescent="0.2"/>
    <row r="174" s="37" customFormat="1" ht="16" customHeight="1" x14ac:dyDescent="0.2"/>
    <row r="175" s="37" customFormat="1" ht="16" customHeight="1" x14ac:dyDescent="0.2"/>
    <row r="176" s="37" customFormat="1" ht="16" customHeight="1" x14ac:dyDescent="0.2"/>
    <row r="177" s="37" customFormat="1" ht="16" customHeight="1" x14ac:dyDescent="0.2"/>
    <row r="178" s="37" customFormat="1" ht="16" customHeight="1" x14ac:dyDescent="0.2"/>
    <row r="179" s="37" customFormat="1" ht="16" customHeight="1" x14ac:dyDescent="0.2"/>
    <row r="180" s="37" customFormat="1" ht="16" customHeight="1" x14ac:dyDescent="0.2"/>
    <row r="181" s="37" customFormat="1" ht="16" customHeight="1" x14ac:dyDescent="0.2"/>
    <row r="182" s="37" customFormat="1" ht="16" customHeight="1" x14ac:dyDescent="0.2"/>
    <row r="183" s="37" customFormat="1" ht="16" customHeight="1" x14ac:dyDescent="0.2"/>
    <row r="184" s="37" customFormat="1" ht="16" customHeight="1" x14ac:dyDescent="0.2"/>
    <row r="185" s="37" customFormat="1" ht="16" customHeight="1" x14ac:dyDescent="0.2"/>
    <row r="186" s="37" customFormat="1" ht="16" customHeight="1" x14ac:dyDescent="0.2"/>
    <row r="187" s="37" customFormat="1" ht="16" customHeight="1" x14ac:dyDescent="0.2"/>
    <row r="188" s="37" customFormat="1" ht="16" customHeight="1" x14ac:dyDescent="0.2"/>
    <row r="189" s="37" customFormat="1" ht="16" customHeight="1" x14ac:dyDescent="0.2"/>
    <row r="190" s="37" customFormat="1" ht="16" customHeight="1" x14ac:dyDescent="0.2"/>
    <row r="191" s="37" customFormat="1" ht="16" customHeight="1" x14ac:dyDescent="0.2"/>
    <row r="192" s="37" customFormat="1" ht="16" customHeight="1" x14ac:dyDescent="0.2"/>
    <row r="193" s="37" customFormat="1" ht="16" customHeight="1" x14ac:dyDescent="0.2"/>
    <row r="194" s="37" customFormat="1" ht="16" customHeight="1" x14ac:dyDescent="0.2"/>
    <row r="195" s="37" customFormat="1" ht="16" customHeight="1" x14ac:dyDescent="0.2"/>
    <row r="196" s="37" customFormat="1" ht="16" customHeight="1" x14ac:dyDescent="0.2"/>
    <row r="197" s="37" customFormat="1" ht="16" customHeight="1" x14ac:dyDescent="0.2"/>
  </sheetData>
  <mergeCells count="17">
    <mergeCell ref="A3:K3"/>
    <mergeCell ref="A4:K4"/>
    <mergeCell ref="A5:E5"/>
    <mergeCell ref="A7:C10"/>
    <mergeCell ref="D7:D10"/>
    <mergeCell ref="E7:I7"/>
    <mergeCell ref="J7:K8"/>
    <mergeCell ref="E8:E9"/>
    <mergeCell ref="F8:F9"/>
    <mergeCell ref="G8:G9"/>
    <mergeCell ref="A86:K86"/>
    <mergeCell ref="H8:H9"/>
    <mergeCell ref="I8:I9"/>
    <mergeCell ref="A82:K82"/>
    <mergeCell ref="A83:K83"/>
    <mergeCell ref="A84:K84"/>
    <mergeCell ref="A85:K85"/>
  </mergeCells>
  <printOptions horizontalCentered="1"/>
  <pageMargins left="0.70866141732283472" right="0.31496062992125984" top="0.74803149606299213" bottom="0.74803149606299213" header="0.31496062992125984" footer="0.31496062992125984"/>
  <pageSetup paperSize="9" scale="78" fitToHeight="0" orientation="portrait" r:id="rId1"/>
  <headerFooter alignWithMargins="0"/>
  <rowBreaks count="1" manualBreakCount="1">
    <brk id="59" max="10"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12C5D-9496-486A-969B-DDCAEBC74B30}">
  <sheetPr codeName="Tabelle38"/>
  <dimension ref="A1:N200"/>
  <sheetViews>
    <sheetView showGridLines="0" zoomScaleNormal="100" workbookViewId="0"/>
  </sheetViews>
  <sheetFormatPr defaultColWidth="8.81640625" defaultRowHeight="16" customHeight="1" x14ac:dyDescent="0.2"/>
  <cols>
    <col min="1" max="1" width="16.81640625" style="37" customWidth="1"/>
    <col min="2" max="2" width="9.7265625" style="61" customWidth="1"/>
    <col min="3" max="9" width="9.7265625" style="90" customWidth="1"/>
    <col min="10" max="10" width="9.7265625" style="91" customWidth="1"/>
    <col min="11" max="11" width="9.7265625" style="37" customWidth="1"/>
    <col min="12" max="12" width="9.7265625" style="90" customWidth="1"/>
    <col min="13" max="13" width="9.7265625" style="37" customWidth="1"/>
    <col min="14" max="16384" width="8.81640625" style="37"/>
  </cols>
  <sheetData>
    <row r="1" spans="1:13" customFormat="1" ht="36.75" customHeight="1" x14ac:dyDescent="0.25">
      <c r="A1" s="31" t="s">
        <v>63</v>
      </c>
      <c r="B1" s="31"/>
      <c r="C1" s="31"/>
      <c r="D1" s="31"/>
      <c r="E1" s="31"/>
      <c r="F1" s="31"/>
      <c r="G1" s="31"/>
      <c r="H1" s="31"/>
      <c r="I1" s="31"/>
      <c r="J1" s="31"/>
      <c r="K1" s="11"/>
      <c r="L1" s="31"/>
      <c r="M1" s="32" t="s">
        <v>40</v>
      </c>
    </row>
    <row r="2" spans="1:13" customFormat="1" ht="11.25" customHeight="1" x14ac:dyDescent="0.25">
      <c r="A2" s="34"/>
      <c r="B2" s="34"/>
      <c r="C2" s="34"/>
      <c r="D2" s="34"/>
      <c r="E2" s="34"/>
      <c r="F2" s="34"/>
      <c r="G2" s="34"/>
      <c r="H2" s="34"/>
      <c r="I2" s="34"/>
      <c r="J2" s="34"/>
      <c r="K2" s="34"/>
      <c r="L2" s="34"/>
      <c r="M2" s="34"/>
    </row>
    <row r="3" spans="1:13" s="35" customFormat="1" ht="25" customHeight="1" x14ac:dyDescent="0.35">
      <c r="A3" s="444" t="s">
        <v>375</v>
      </c>
      <c r="B3" s="445"/>
      <c r="C3" s="445"/>
      <c r="D3" s="445"/>
      <c r="E3" s="445"/>
      <c r="F3" s="445"/>
      <c r="G3" s="445"/>
      <c r="H3" s="445"/>
      <c r="I3" s="445"/>
      <c r="J3" s="445"/>
      <c r="K3" s="445"/>
    </row>
    <row r="4" spans="1:13" s="35" customFormat="1" ht="12" customHeight="1" x14ac:dyDescent="0.35">
      <c r="A4" s="60" t="s">
        <v>376</v>
      </c>
      <c r="B4" s="204"/>
      <c r="C4" s="204"/>
      <c r="D4" s="204"/>
      <c r="E4" s="204"/>
      <c r="F4" s="204"/>
      <c r="G4" s="204"/>
      <c r="H4" s="204"/>
      <c r="I4" s="204"/>
      <c r="J4" s="204"/>
      <c r="K4" s="204"/>
      <c r="L4" s="204"/>
      <c r="M4" s="204"/>
    </row>
    <row r="5" spans="1:13" s="35" customFormat="1" ht="12" customHeight="1" x14ac:dyDescent="0.35">
      <c r="A5" s="526" t="s">
        <v>377</v>
      </c>
      <c r="B5" s="526"/>
      <c r="C5" s="301"/>
      <c r="D5" s="301"/>
      <c r="E5" s="301"/>
      <c r="F5" s="302"/>
      <c r="G5" s="302"/>
      <c r="H5" s="302"/>
      <c r="I5" s="302"/>
      <c r="J5" s="302"/>
      <c r="K5" s="302"/>
      <c r="L5" s="302"/>
      <c r="M5" s="302"/>
    </row>
    <row r="6" spans="1:13" s="35" customFormat="1" ht="16.5" customHeight="1" x14ac:dyDescent="0.35">
      <c r="A6" s="527" t="s">
        <v>378</v>
      </c>
      <c r="B6" s="527"/>
      <c r="C6" s="527"/>
      <c r="D6" s="527"/>
      <c r="E6" s="527"/>
      <c r="F6" s="527"/>
      <c r="G6" s="527"/>
      <c r="H6" s="527"/>
      <c r="I6" s="527"/>
      <c r="J6" s="527"/>
      <c r="K6" s="527"/>
      <c r="L6" s="527"/>
      <c r="M6" s="527"/>
    </row>
    <row r="7" spans="1:13" customFormat="1" ht="34" customHeight="1" x14ac:dyDescent="0.25">
      <c r="A7" s="456" t="s">
        <v>379</v>
      </c>
      <c r="B7" s="528" t="s">
        <v>380</v>
      </c>
      <c r="C7" s="528"/>
      <c r="D7" s="528"/>
      <c r="E7" s="528"/>
      <c r="F7" s="528"/>
      <c r="G7" s="528"/>
      <c r="H7" s="529"/>
      <c r="I7" s="528" t="s">
        <v>381</v>
      </c>
      <c r="J7" s="528"/>
      <c r="K7" s="529"/>
      <c r="L7" s="530" t="s">
        <v>382</v>
      </c>
      <c r="M7" s="531"/>
    </row>
    <row r="8" spans="1:13" ht="23.9" customHeight="1" x14ac:dyDescent="0.2">
      <c r="A8" s="457"/>
      <c r="B8" s="303" t="s">
        <v>98</v>
      </c>
      <c r="C8" s="304" t="s">
        <v>100</v>
      </c>
      <c r="D8" s="304" t="s">
        <v>101</v>
      </c>
      <c r="E8" s="304" t="s">
        <v>383</v>
      </c>
      <c r="F8" s="304" t="s">
        <v>384</v>
      </c>
      <c r="G8" s="304" t="s">
        <v>102</v>
      </c>
      <c r="H8" s="305" t="s">
        <v>385</v>
      </c>
      <c r="I8" s="303" t="s">
        <v>98</v>
      </c>
      <c r="J8" s="303" t="s">
        <v>386</v>
      </c>
      <c r="K8" s="306" t="s">
        <v>387</v>
      </c>
      <c r="L8" s="307" t="s">
        <v>388</v>
      </c>
      <c r="M8" s="308" t="s">
        <v>389</v>
      </c>
    </row>
    <row r="9" spans="1:13" ht="12" customHeight="1" x14ac:dyDescent="0.2">
      <c r="A9" s="458"/>
      <c r="B9" s="40">
        <v>1</v>
      </c>
      <c r="C9" s="40">
        <v>2</v>
      </c>
      <c r="D9" s="40">
        <v>3</v>
      </c>
      <c r="E9" s="40">
        <v>4</v>
      </c>
      <c r="F9" s="40">
        <v>5</v>
      </c>
      <c r="G9" s="40">
        <v>6</v>
      </c>
      <c r="H9" s="40">
        <v>7</v>
      </c>
      <c r="I9" s="40">
        <v>8</v>
      </c>
      <c r="J9" s="40">
        <v>9</v>
      </c>
      <c r="K9" s="309">
        <v>10</v>
      </c>
      <c r="L9" s="310">
        <v>11</v>
      </c>
      <c r="M9" s="310">
        <v>12</v>
      </c>
    </row>
    <row r="10" spans="1:13" ht="11.15" customHeight="1" x14ac:dyDescent="0.2">
      <c r="A10" s="311" t="s">
        <v>390</v>
      </c>
      <c r="B10" s="54">
        <v>82493</v>
      </c>
      <c r="C10" s="53">
        <v>40351</v>
      </c>
      <c r="D10" s="53">
        <v>42142</v>
      </c>
      <c r="E10" s="53">
        <v>55520</v>
      </c>
      <c r="F10" s="53">
        <v>26873</v>
      </c>
      <c r="G10" s="53">
        <v>5557</v>
      </c>
      <c r="H10" s="53">
        <v>31021</v>
      </c>
      <c r="I10" s="54">
        <v>11934</v>
      </c>
      <c r="J10" s="53">
        <v>9240</v>
      </c>
      <c r="K10" s="53">
        <v>2694</v>
      </c>
      <c r="L10" s="312">
        <v>5211</v>
      </c>
      <c r="M10" s="313">
        <v>3969</v>
      </c>
    </row>
    <row r="11" spans="1:13" ht="11.15" customHeight="1" x14ac:dyDescent="0.2">
      <c r="A11" s="311" t="s">
        <v>391</v>
      </c>
      <c r="B11" s="54">
        <v>83649</v>
      </c>
      <c r="C11" s="53">
        <v>41107</v>
      </c>
      <c r="D11" s="53">
        <v>42542</v>
      </c>
      <c r="E11" s="53">
        <v>56228</v>
      </c>
      <c r="F11" s="53">
        <v>27398</v>
      </c>
      <c r="G11" s="53">
        <v>6161</v>
      </c>
      <c r="H11" s="53">
        <v>31325</v>
      </c>
      <c r="I11" s="54">
        <v>11901</v>
      </c>
      <c r="J11" s="53">
        <v>9115</v>
      </c>
      <c r="K11" s="53">
        <v>2786</v>
      </c>
      <c r="L11" s="312">
        <v>6089</v>
      </c>
      <c r="M11" s="313">
        <v>5132</v>
      </c>
    </row>
    <row r="12" spans="1:13" ht="11.15" customHeight="1" x14ac:dyDescent="0.2">
      <c r="A12" s="311" t="s">
        <v>392</v>
      </c>
      <c r="B12" s="54">
        <v>82559</v>
      </c>
      <c r="C12" s="53">
        <v>40246</v>
      </c>
      <c r="D12" s="53">
        <v>42313</v>
      </c>
      <c r="E12" s="53">
        <v>55026</v>
      </c>
      <c r="F12" s="53">
        <v>27515</v>
      </c>
      <c r="G12" s="53">
        <v>5898</v>
      </c>
      <c r="H12" s="53">
        <v>30990</v>
      </c>
      <c r="I12" s="54">
        <v>11965</v>
      </c>
      <c r="J12" s="53">
        <v>9227</v>
      </c>
      <c r="K12" s="53">
        <v>2738</v>
      </c>
      <c r="L12" s="312">
        <v>3938</v>
      </c>
      <c r="M12" s="313">
        <v>4983</v>
      </c>
    </row>
    <row r="13" spans="1:13" ht="15" customHeight="1" x14ac:dyDescent="0.2">
      <c r="A13" s="311" t="s">
        <v>393</v>
      </c>
      <c r="B13" s="54">
        <v>82333</v>
      </c>
      <c r="C13" s="53">
        <v>40093</v>
      </c>
      <c r="D13" s="53">
        <v>42240</v>
      </c>
      <c r="E13" s="53">
        <v>54645</v>
      </c>
      <c r="F13" s="53">
        <v>27679</v>
      </c>
      <c r="G13" s="53">
        <v>5673</v>
      </c>
      <c r="H13" s="53">
        <v>31159</v>
      </c>
      <c r="I13" s="54">
        <v>11907</v>
      </c>
      <c r="J13" s="53">
        <v>9256</v>
      </c>
      <c r="K13" s="53">
        <v>2651</v>
      </c>
      <c r="L13" s="312">
        <v>5368</v>
      </c>
      <c r="M13" s="313">
        <v>5549</v>
      </c>
    </row>
    <row r="14" spans="1:13" ht="11.15" customHeight="1" x14ac:dyDescent="0.2">
      <c r="A14" s="311" t="s">
        <v>394</v>
      </c>
      <c r="B14" s="54">
        <v>83986</v>
      </c>
      <c r="C14" s="53">
        <v>41392</v>
      </c>
      <c r="D14" s="53">
        <v>42594</v>
      </c>
      <c r="E14" s="53">
        <v>55764</v>
      </c>
      <c r="F14" s="53">
        <v>28219</v>
      </c>
      <c r="G14" s="53">
        <v>5582</v>
      </c>
      <c r="H14" s="53">
        <v>31991</v>
      </c>
      <c r="I14" s="54">
        <v>12055</v>
      </c>
      <c r="J14" s="53">
        <v>9213</v>
      </c>
      <c r="K14" s="53">
        <v>2842</v>
      </c>
      <c r="L14" s="312">
        <v>5333</v>
      </c>
      <c r="M14" s="313">
        <v>3711</v>
      </c>
    </row>
    <row r="15" spans="1:13" ht="11.15" customHeight="1" x14ac:dyDescent="0.2">
      <c r="A15" s="311" t="s">
        <v>391</v>
      </c>
      <c r="B15" s="54">
        <v>85270</v>
      </c>
      <c r="C15" s="53">
        <v>42121</v>
      </c>
      <c r="D15" s="53">
        <v>43149</v>
      </c>
      <c r="E15" s="53">
        <v>56536</v>
      </c>
      <c r="F15" s="53">
        <v>28733</v>
      </c>
      <c r="G15" s="53">
        <v>6274</v>
      </c>
      <c r="H15" s="53">
        <v>32261</v>
      </c>
      <c r="I15" s="54">
        <v>12159</v>
      </c>
      <c r="J15" s="53">
        <v>9161</v>
      </c>
      <c r="K15" s="53">
        <v>2998</v>
      </c>
      <c r="L15" s="312">
        <v>6269</v>
      </c>
      <c r="M15" s="313">
        <v>5066</v>
      </c>
    </row>
    <row r="16" spans="1:13" ht="11.15" customHeight="1" x14ac:dyDescent="0.2">
      <c r="A16" s="311" t="s">
        <v>392</v>
      </c>
      <c r="B16" s="54">
        <v>83772</v>
      </c>
      <c r="C16" s="53">
        <v>41077</v>
      </c>
      <c r="D16" s="53">
        <v>42695</v>
      </c>
      <c r="E16" s="53">
        <v>55341</v>
      </c>
      <c r="F16" s="53">
        <v>28431</v>
      </c>
      <c r="G16" s="53">
        <v>6083</v>
      </c>
      <c r="H16" s="53">
        <v>31813</v>
      </c>
      <c r="I16" s="54">
        <v>12159</v>
      </c>
      <c r="J16" s="53">
        <v>9249</v>
      </c>
      <c r="K16" s="53">
        <v>2910</v>
      </c>
      <c r="L16" s="312">
        <v>3623</v>
      </c>
      <c r="M16" s="313">
        <v>5173</v>
      </c>
    </row>
    <row r="17" spans="1:13" ht="15" customHeight="1" x14ac:dyDescent="0.2">
      <c r="A17" s="311" t="s">
        <v>395</v>
      </c>
      <c r="B17" s="54">
        <v>83946</v>
      </c>
      <c r="C17" s="53">
        <v>41143</v>
      </c>
      <c r="D17" s="53">
        <v>42803</v>
      </c>
      <c r="E17" s="53">
        <v>55162</v>
      </c>
      <c r="F17" s="53">
        <v>28784</v>
      </c>
      <c r="G17" s="53">
        <v>5917</v>
      </c>
      <c r="H17" s="53">
        <v>31984</v>
      </c>
      <c r="I17" s="54">
        <v>11951</v>
      </c>
      <c r="J17" s="53">
        <v>9114</v>
      </c>
      <c r="K17" s="53">
        <v>2837</v>
      </c>
      <c r="L17" s="312">
        <v>6233</v>
      </c>
      <c r="M17" s="313">
        <v>6087</v>
      </c>
    </row>
    <row r="18" spans="1:13" ht="11.15" customHeight="1" x14ac:dyDescent="0.2">
      <c r="A18" s="311" t="s">
        <v>394</v>
      </c>
      <c r="B18" s="54">
        <v>84381</v>
      </c>
      <c r="C18" s="53">
        <v>41724</v>
      </c>
      <c r="D18" s="53">
        <v>42657</v>
      </c>
      <c r="E18" s="53">
        <v>54997</v>
      </c>
      <c r="F18" s="53">
        <v>29384</v>
      </c>
      <c r="G18" s="53">
        <v>5816</v>
      </c>
      <c r="H18" s="53">
        <v>32487</v>
      </c>
      <c r="I18" s="54">
        <v>12012</v>
      </c>
      <c r="J18" s="53">
        <v>9012</v>
      </c>
      <c r="K18" s="53">
        <v>3000</v>
      </c>
      <c r="L18" s="312">
        <v>5210</v>
      </c>
      <c r="M18" s="313">
        <v>4709</v>
      </c>
    </row>
    <row r="19" spans="1:13" ht="11.15" customHeight="1" x14ac:dyDescent="0.2">
      <c r="A19" s="311" t="s">
        <v>391</v>
      </c>
      <c r="B19" s="54">
        <v>86686</v>
      </c>
      <c r="C19" s="53">
        <v>42907</v>
      </c>
      <c r="D19" s="53">
        <v>43779</v>
      </c>
      <c r="E19" s="53">
        <v>56901</v>
      </c>
      <c r="F19" s="53">
        <v>29785</v>
      </c>
      <c r="G19" s="53">
        <v>6632</v>
      </c>
      <c r="H19" s="53">
        <v>33038</v>
      </c>
      <c r="I19" s="54">
        <v>11931</v>
      </c>
      <c r="J19" s="53">
        <v>8865</v>
      </c>
      <c r="K19" s="53">
        <v>3066</v>
      </c>
      <c r="L19" s="312">
        <v>6728</v>
      </c>
      <c r="M19" s="313">
        <v>5533</v>
      </c>
    </row>
    <row r="20" spans="1:13" ht="11.15" customHeight="1" x14ac:dyDescent="0.2">
      <c r="A20" s="311" t="s">
        <v>392</v>
      </c>
      <c r="B20" s="54">
        <v>85857</v>
      </c>
      <c r="C20" s="53">
        <v>42321</v>
      </c>
      <c r="D20" s="53">
        <v>43536</v>
      </c>
      <c r="E20" s="53">
        <v>56171</v>
      </c>
      <c r="F20" s="53">
        <v>29686</v>
      </c>
      <c r="G20" s="53">
        <v>6520</v>
      </c>
      <c r="H20" s="53">
        <v>32830</v>
      </c>
      <c r="I20" s="54">
        <v>12084</v>
      </c>
      <c r="J20" s="53">
        <v>9074</v>
      </c>
      <c r="K20" s="53">
        <v>3010</v>
      </c>
      <c r="L20" s="312">
        <v>3963</v>
      </c>
      <c r="M20" s="313">
        <v>4838</v>
      </c>
    </row>
    <row r="21" spans="1:13" ht="15" customHeight="1" x14ac:dyDescent="0.2">
      <c r="A21" s="311" t="s">
        <v>396</v>
      </c>
      <c r="B21" s="54">
        <v>85528</v>
      </c>
      <c r="C21" s="53">
        <v>42111</v>
      </c>
      <c r="D21" s="53">
        <v>43417</v>
      </c>
      <c r="E21" s="53">
        <v>55726</v>
      </c>
      <c r="F21" s="53">
        <v>29802</v>
      </c>
      <c r="G21" s="53">
        <v>6308</v>
      </c>
      <c r="H21" s="53">
        <v>32822</v>
      </c>
      <c r="I21" s="54">
        <v>11954</v>
      </c>
      <c r="J21" s="53">
        <v>8991</v>
      </c>
      <c r="K21" s="53">
        <v>2963</v>
      </c>
      <c r="L21" s="312">
        <v>6609</v>
      </c>
      <c r="M21" s="313">
        <v>6878</v>
      </c>
    </row>
    <row r="22" spans="1:13" ht="11.15" customHeight="1" x14ac:dyDescent="0.2">
      <c r="A22" s="311" t="s">
        <v>394</v>
      </c>
      <c r="B22" s="54">
        <v>86857</v>
      </c>
      <c r="C22" s="53">
        <v>43093</v>
      </c>
      <c r="D22" s="53">
        <v>43764</v>
      </c>
      <c r="E22" s="53">
        <v>56578</v>
      </c>
      <c r="F22" s="53">
        <v>30279</v>
      </c>
      <c r="G22" s="53">
        <v>6211</v>
      </c>
      <c r="H22" s="53">
        <v>33557</v>
      </c>
      <c r="I22" s="54">
        <v>12103</v>
      </c>
      <c r="J22" s="53">
        <v>9026</v>
      </c>
      <c r="K22" s="53">
        <v>3077</v>
      </c>
      <c r="L22" s="312">
        <v>5651</v>
      </c>
      <c r="M22" s="313">
        <v>4398</v>
      </c>
    </row>
    <row r="23" spans="1:13" ht="11.15" customHeight="1" x14ac:dyDescent="0.2">
      <c r="A23" s="311" t="s">
        <v>391</v>
      </c>
      <c r="B23" s="54">
        <v>87871</v>
      </c>
      <c r="C23" s="53">
        <v>43738</v>
      </c>
      <c r="D23" s="53">
        <v>44133</v>
      </c>
      <c r="E23" s="53">
        <v>57105</v>
      </c>
      <c r="F23" s="53">
        <v>30766</v>
      </c>
      <c r="G23" s="53">
        <v>6996</v>
      </c>
      <c r="H23" s="53">
        <v>33580</v>
      </c>
      <c r="I23" s="54">
        <v>11967</v>
      </c>
      <c r="J23" s="53">
        <v>8773</v>
      </c>
      <c r="K23" s="53">
        <v>3194</v>
      </c>
      <c r="L23" s="312">
        <v>7138</v>
      </c>
      <c r="M23" s="313">
        <v>6404</v>
      </c>
    </row>
    <row r="24" spans="1:13" ht="11.15" customHeight="1" x14ac:dyDescent="0.2">
      <c r="A24" s="311" t="s">
        <v>392</v>
      </c>
      <c r="B24" s="54">
        <v>87373</v>
      </c>
      <c r="C24" s="53">
        <v>43245</v>
      </c>
      <c r="D24" s="53">
        <v>44128</v>
      </c>
      <c r="E24" s="53">
        <v>56696</v>
      </c>
      <c r="F24" s="53">
        <v>30677</v>
      </c>
      <c r="G24" s="53">
        <v>6867</v>
      </c>
      <c r="H24" s="53">
        <v>33459</v>
      </c>
      <c r="I24" s="54">
        <v>11933</v>
      </c>
      <c r="J24" s="53">
        <v>8781</v>
      </c>
      <c r="K24" s="53">
        <v>3152</v>
      </c>
      <c r="L24" s="312">
        <v>4107</v>
      </c>
      <c r="M24" s="313">
        <v>4978</v>
      </c>
    </row>
    <row r="25" spans="1:13" ht="15" customHeight="1" x14ac:dyDescent="0.2">
      <c r="A25" s="311" t="s">
        <v>397</v>
      </c>
      <c r="B25" s="54">
        <v>86477</v>
      </c>
      <c r="C25" s="53">
        <v>42796</v>
      </c>
      <c r="D25" s="53">
        <v>43681</v>
      </c>
      <c r="E25" s="53">
        <v>56001</v>
      </c>
      <c r="F25" s="53">
        <v>30476</v>
      </c>
      <c r="G25" s="53">
        <v>6632</v>
      </c>
      <c r="H25" s="53">
        <v>33243</v>
      </c>
      <c r="I25" s="54">
        <v>11653</v>
      </c>
      <c r="J25" s="53">
        <v>8581</v>
      </c>
      <c r="K25" s="53">
        <v>3072</v>
      </c>
      <c r="L25" s="312">
        <v>5903</v>
      </c>
      <c r="M25" s="313">
        <v>6745</v>
      </c>
    </row>
    <row r="26" spans="1:13" ht="11.15" customHeight="1" x14ac:dyDescent="0.2">
      <c r="A26" s="311" t="s">
        <v>394</v>
      </c>
      <c r="B26" s="54">
        <v>86989</v>
      </c>
      <c r="C26" s="53">
        <v>43154</v>
      </c>
      <c r="D26" s="53">
        <v>43835</v>
      </c>
      <c r="E26" s="53">
        <v>56036</v>
      </c>
      <c r="F26" s="53">
        <v>30953</v>
      </c>
      <c r="G26" s="53">
        <v>6454</v>
      </c>
      <c r="H26" s="53">
        <v>33821</v>
      </c>
      <c r="I26" s="54">
        <v>11792</v>
      </c>
      <c r="J26" s="53">
        <v>8616</v>
      </c>
      <c r="K26" s="53">
        <v>3176</v>
      </c>
      <c r="L26" s="312">
        <v>5533</v>
      </c>
      <c r="M26" s="313">
        <v>5018</v>
      </c>
    </row>
    <row r="27" spans="1:13" ht="11.15" customHeight="1" x14ac:dyDescent="0.2">
      <c r="A27" s="311" t="s">
        <v>391</v>
      </c>
      <c r="B27" s="54">
        <v>88284</v>
      </c>
      <c r="C27" s="53">
        <v>43821</v>
      </c>
      <c r="D27" s="53">
        <v>44463</v>
      </c>
      <c r="E27" s="53">
        <v>56700</v>
      </c>
      <c r="F27" s="53">
        <v>31584</v>
      </c>
      <c r="G27" s="53">
        <v>7273</v>
      </c>
      <c r="H27" s="53">
        <v>34122</v>
      </c>
      <c r="I27" s="54">
        <v>11643</v>
      </c>
      <c r="J27" s="53">
        <v>8415</v>
      </c>
      <c r="K27" s="53">
        <v>3228</v>
      </c>
      <c r="L27" s="312">
        <v>6688</v>
      </c>
      <c r="M27" s="313">
        <v>5563</v>
      </c>
    </row>
    <row r="28" spans="1:13" ht="11.15" customHeight="1" x14ac:dyDescent="0.2">
      <c r="A28" s="311" t="s">
        <v>392</v>
      </c>
      <c r="B28" s="54">
        <v>87371</v>
      </c>
      <c r="C28" s="53">
        <v>43122</v>
      </c>
      <c r="D28" s="53">
        <v>44249</v>
      </c>
      <c r="E28" s="53">
        <v>55870</v>
      </c>
      <c r="F28" s="53">
        <v>31501</v>
      </c>
      <c r="G28" s="53">
        <v>7129</v>
      </c>
      <c r="H28" s="53">
        <v>33778</v>
      </c>
      <c r="I28" s="54">
        <v>11637</v>
      </c>
      <c r="J28" s="53">
        <v>8412</v>
      </c>
      <c r="K28" s="53">
        <v>3225</v>
      </c>
      <c r="L28" s="312">
        <v>3885</v>
      </c>
      <c r="M28" s="313">
        <v>4786</v>
      </c>
    </row>
    <row r="29" spans="1:13" ht="15" customHeight="1" x14ac:dyDescent="0.2">
      <c r="A29" s="311" t="s">
        <v>398</v>
      </c>
      <c r="B29" s="54">
        <v>86862</v>
      </c>
      <c r="C29" s="53">
        <v>42838</v>
      </c>
      <c r="D29" s="53">
        <v>44024</v>
      </c>
      <c r="E29" s="53">
        <v>55322</v>
      </c>
      <c r="F29" s="53">
        <v>31540</v>
      </c>
      <c r="G29" s="53">
        <v>6892</v>
      </c>
      <c r="H29" s="53">
        <v>33595</v>
      </c>
      <c r="I29" s="54">
        <v>11099</v>
      </c>
      <c r="J29" s="53">
        <v>8023</v>
      </c>
      <c r="K29" s="53">
        <v>3076</v>
      </c>
      <c r="L29" s="312">
        <v>6400</v>
      </c>
      <c r="M29" s="313">
        <v>6821</v>
      </c>
    </row>
    <row r="30" spans="1:13" ht="11.15" customHeight="1" x14ac:dyDescent="0.2">
      <c r="A30" s="311" t="s">
        <v>394</v>
      </c>
      <c r="B30" s="54">
        <v>86599</v>
      </c>
      <c r="C30" s="53">
        <v>42833</v>
      </c>
      <c r="D30" s="53">
        <v>43766</v>
      </c>
      <c r="E30" s="53">
        <v>55022</v>
      </c>
      <c r="F30" s="53">
        <v>31577</v>
      </c>
      <c r="G30" s="53">
        <v>6682</v>
      </c>
      <c r="H30" s="53">
        <v>33818</v>
      </c>
      <c r="I30" s="54">
        <v>10778</v>
      </c>
      <c r="J30" s="53">
        <v>7696</v>
      </c>
      <c r="K30" s="53">
        <v>3082</v>
      </c>
      <c r="L30" s="312">
        <v>3706</v>
      </c>
      <c r="M30" s="313">
        <v>4084</v>
      </c>
    </row>
    <row r="31" spans="1:13" ht="11.15" customHeight="1" x14ac:dyDescent="0.2">
      <c r="A31" s="311" t="s">
        <v>391</v>
      </c>
      <c r="B31" s="54">
        <v>87903</v>
      </c>
      <c r="C31" s="53">
        <v>43478</v>
      </c>
      <c r="D31" s="53">
        <v>44425</v>
      </c>
      <c r="E31" s="53">
        <v>55784</v>
      </c>
      <c r="F31" s="53">
        <v>32119</v>
      </c>
      <c r="G31" s="53">
        <v>7444</v>
      </c>
      <c r="H31" s="53">
        <v>33937</v>
      </c>
      <c r="I31" s="54">
        <v>11036</v>
      </c>
      <c r="J31" s="53">
        <v>7847</v>
      </c>
      <c r="K31" s="53">
        <v>3189</v>
      </c>
      <c r="L31" s="312">
        <v>6295</v>
      </c>
      <c r="M31" s="313">
        <v>5271</v>
      </c>
    </row>
    <row r="32" spans="1:13" ht="11.15" customHeight="1" x14ac:dyDescent="0.2">
      <c r="A32" s="311" t="s">
        <v>392</v>
      </c>
      <c r="B32" s="54">
        <v>87361</v>
      </c>
      <c r="C32" s="53">
        <v>43045</v>
      </c>
      <c r="D32" s="53">
        <v>44316</v>
      </c>
      <c r="E32" s="53">
        <v>55255</v>
      </c>
      <c r="F32" s="53">
        <v>32106</v>
      </c>
      <c r="G32" s="53">
        <v>7276</v>
      </c>
      <c r="H32" s="53">
        <v>33784</v>
      </c>
      <c r="I32" s="54">
        <v>10666</v>
      </c>
      <c r="J32" s="53">
        <v>7565</v>
      </c>
      <c r="K32" s="53">
        <v>3101</v>
      </c>
      <c r="L32" s="312">
        <v>3558</v>
      </c>
      <c r="M32" s="313">
        <v>4135</v>
      </c>
    </row>
    <row r="33" spans="1:13" ht="15" customHeight="1" x14ac:dyDescent="0.2">
      <c r="A33" s="311" t="s">
        <v>399</v>
      </c>
      <c r="B33" s="54">
        <v>86575</v>
      </c>
      <c r="C33" s="53">
        <v>42631</v>
      </c>
      <c r="D33" s="53">
        <v>43944</v>
      </c>
      <c r="E33" s="53">
        <v>54793</v>
      </c>
      <c r="F33" s="53">
        <v>31782</v>
      </c>
      <c r="G33" s="53">
        <v>7058</v>
      </c>
      <c r="H33" s="53">
        <v>33622</v>
      </c>
      <c r="I33" s="54">
        <v>10464</v>
      </c>
      <c r="J33" s="53">
        <v>7350</v>
      </c>
      <c r="K33" s="53">
        <v>3114</v>
      </c>
      <c r="L33" s="312">
        <v>4546</v>
      </c>
      <c r="M33" s="313">
        <v>5401</v>
      </c>
    </row>
    <row r="34" spans="1:13" ht="11.15" customHeight="1" x14ac:dyDescent="0.2">
      <c r="A34" s="311" t="s">
        <v>394</v>
      </c>
      <c r="B34" s="54">
        <v>87376</v>
      </c>
      <c r="C34" s="53">
        <v>43249</v>
      </c>
      <c r="D34" s="53">
        <v>44127</v>
      </c>
      <c r="E34" s="53">
        <v>55358</v>
      </c>
      <c r="F34" s="53">
        <v>32018</v>
      </c>
      <c r="G34" s="53">
        <v>6941</v>
      </c>
      <c r="H34" s="53">
        <v>34069</v>
      </c>
      <c r="I34" s="54">
        <v>10741</v>
      </c>
      <c r="J34" s="53">
        <v>7459</v>
      </c>
      <c r="K34" s="53">
        <v>3282</v>
      </c>
      <c r="L34" s="312">
        <v>5288</v>
      </c>
      <c r="M34" s="313">
        <v>4526</v>
      </c>
    </row>
    <row r="35" spans="1:13" ht="11.15" customHeight="1" x14ac:dyDescent="0.2">
      <c r="A35" s="311" t="s">
        <v>391</v>
      </c>
      <c r="B35" s="54">
        <v>88788</v>
      </c>
      <c r="C35" s="53">
        <v>44028</v>
      </c>
      <c r="D35" s="53">
        <v>44760</v>
      </c>
      <c r="E35" s="53">
        <v>56221</v>
      </c>
      <c r="F35" s="53">
        <v>32567</v>
      </c>
      <c r="G35" s="53">
        <v>7728</v>
      </c>
      <c r="H35" s="53">
        <v>34263</v>
      </c>
      <c r="I35" s="54">
        <v>11040</v>
      </c>
      <c r="J35" s="53">
        <v>7621</v>
      </c>
      <c r="K35" s="53">
        <v>3419</v>
      </c>
      <c r="L35" s="312">
        <v>7137</v>
      </c>
      <c r="M35" s="313">
        <v>5956</v>
      </c>
    </row>
    <row r="36" spans="1:13" ht="11.15" customHeight="1" x14ac:dyDescent="0.2">
      <c r="A36" s="311" t="s">
        <v>392</v>
      </c>
      <c r="B36" s="54">
        <v>88381</v>
      </c>
      <c r="C36" s="53">
        <v>43727</v>
      </c>
      <c r="D36" s="53">
        <v>44654</v>
      </c>
      <c r="E36" s="53">
        <v>55898</v>
      </c>
      <c r="F36" s="53">
        <v>32483</v>
      </c>
      <c r="G36" s="53">
        <v>7608</v>
      </c>
      <c r="H36" s="53">
        <v>34160</v>
      </c>
      <c r="I36" s="54">
        <v>10583</v>
      </c>
      <c r="J36" s="53">
        <v>7303</v>
      </c>
      <c r="K36" s="53">
        <v>3280</v>
      </c>
      <c r="L36" s="312">
        <v>4424</v>
      </c>
      <c r="M36" s="313">
        <v>4896</v>
      </c>
    </row>
    <row r="37" spans="1:13" ht="15" customHeight="1" x14ac:dyDescent="0.2">
      <c r="A37" s="311" t="s">
        <v>400</v>
      </c>
      <c r="B37" s="54">
        <v>88346</v>
      </c>
      <c r="C37" s="53">
        <v>43864</v>
      </c>
      <c r="D37" s="53">
        <v>44482</v>
      </c>
      <c r="E37" s="53">
        <v>55908</v>
      </c>
      <c r="F37" s="53">
        <v>32438</v>
      </c>
      <c r="G37" s="53">
        <v>7443</v>
      </c>
      <c r="H37" s="53">
        <v>34113</v>
      </c>
      <c r="I37" s="54">
        <v>10455</v>
      </c>
      <c r="J37" s="53">
        <v>7201</v>
      </c>
      <c r="K37" s="53">
        <v>3254</v>
      </c>
      <c r="L37" s="312">
        <v>5430</v>
      </c>
      <c r="M37" s="313">
        <v>5768</v>
      </c>
    </row>
    <row r="38" spans="1:13" ht="11.15" customHeight="1" x14ac:dyDescent="0.2">
      <c r="A38" s="314" t="s">
        <v>394</v>
      </c>
      <c r="B38" s="54">
        <v>88343</v>
      </c>
      <c r="C38" s="53">
        <v>43773</v>
      </c>
      <c r="D38" s="53">
        <v>44570</v>
      </c>
      <c r="E38" s="53">
        <v>55609</v>
      </c>
      <c r="F38" s="53">
        <v>32734</v>
      </c>
      <c r="G38" s="53">
        <v>7264</v>
      </c>
      <c r="H38" s="53">
        <v>34288</v>
      </c>
      <c r="I38" s="54">
        <v>10816</v>
      </c>
      <c r="J38" s="53">
        <v>7433</v>
      </c>
      <c r="K38" s="53">
        <v>3383</v>
      </c>
      <c r="L38" s="312">
        <v>4991</v>
      </c>
      <c r="M38" s="313">
        <v>4779</v>
      </c>
    </row>
    <row r="39" spans="1:13" ht="11.15" customHeight="1" x14ac:dyDescent="0.2">
      <c r="A39" s="311" t="s">
        <v>391</v>
      </c>
      <c r="B39" s="54">
        <v>89273</v>
      </c>
      <c r="C39" s="53">
        <v>44335</v>
      </c>
      <c r="D39" s="53">
        <v>44938</v>
      </c>
      <c r="E39" s="53">
        <v>56080</v>
      </c>
      <c r="F39" s="53">
        <v>33193</v>
      </c>
      <c r="G39" s="53">
        <v>8031</v>
      </c>
      <c r="H39" s="53">
        <v>34133</v>
      </c>
      <c r="I39" s="54">
        <v>10912</v>
      </c>
      <c r="J39" s="53">
        <v>7478</v>
      </c>
      <c r="K39" s="53">
        <v>3434</v>
      </c>
      <c r="L39" s="312">
        <v>6979</v>
      </c>
      <c r="M39" s="313">
        <v>6206</v>
      </c>
    </row>
    <row r="40" spans="1:13" ht="11.15" customHeight="1" x14ac:dyDescent="0.2">
      <c r="A40" s="314" t="s">
        <v>392</v>
      </c>
      <c r="B40" s="54">
        <v>89211</v>
      </c>
      <c r="C40" s="53">
        <v>44374</v>
      </c>
      <c r="D40" s="53">
        <v>44837</v>
      </c>
      <c r="E40" s="53">
        <v>56193</v>
      </c>
      <c r="F40" s="53">
        <v>33018</v>
      </c>
      <c r="G40" s="53">
        <v>7844</v>
      </c>
      <c r="H40" s="53">
        <v>34097</v>
      </c>
      <c r="I40" s="54">
        <v>10872</v>
      </c>
      <c r="J40" s="53">
        <v>7444</v>
      </c>
      <c r="K40" s="53">
        <v>3428</v>
      </c>
      <c r="L40" s="312">
        <v>4917</v>
      </c>
      <c r="M40" s="313">
        <v>4988</v>
      </c>
    </row>
    <row r="41" spans="1:13" ht="15" customHeight="1" x14ac:dyDescent="0.2">
      <c r="A41" s="311" t="s">
        <v>401</v>
      </c>
      <c r="B41" s="54">
        <v>88773</v>
      </c>
      <c r="C41" s="53">
        <v>44134</v>
      </c>
      <c r="D41" s="53">
        <v>44639</v>
      </c>
      <c r="E41" s="53">
        <v>55912</v>
      </c>
      <c r="F41" s="53">
        <v>32861</v>
      </c>
      <c r="G41" s="53">
        <v>7581</v>
      </c>
      <c r="H41" s="53">
        <v>34038</v>
      </c>
      <c r="I41" s="54">
        <v>10772</v>
      </c>
      <c r="J41" s="53">
        <v>7391</v>
      </c>
      <c r="K41" s="53">
        <v>3381</v>
      </c>
      <c r="L41" s="312">
        <v>5620</v>
      </c>
      <c r="M41" s="313">
        <v>5972</v>
      </c>
    </row>
    <row r="42" spans="1:13" ht="11.15" customHeight="1" x14ac:dyDescent="0.2">
      <c r="A42" s="311" t="s">
        <v>394</v>
      </c>
      <c r="B42" s="54">
        <v>89136</v>
      </c>
      <c r="C42" s="53">
        <v>44460</v>
      </c>
      <c r="D42" s="53">
        <v>44676</v>
      </c>
      <c r="E42" s="53">
        <v>55935</v>
      </c>
      <c r="F42" s="53">
        <v>33201</v>
      </c>
      <c r="G42" s="53">
        <v>7433</v>
      </c>
      <c r="H42" s="53">
        <v>34289</v>
      </c>
      <c r="I42" s="54">
        <v>11144</v>
      </c>
      <c r="J42" s="53">
        <v>7671</v>
      </c>
      <c r="K42" s="53">
        <v>3473</v>
      </c>
      <c r="L42" s="312">
        <v>4423</v>
      </c>
      <c r="M42" s="313">
        <v>4281</v>
      </c>
    </row>
    <row r="43" spans="1:13" ht="11.15" customHeight="1" x14ac:dyDescent="0.2">
      <c r="A43" s="311" t="s">
        <v>391</v>
      </c>
      <c r="B43" s="54">
        <v>89545</v>
      </c>
      <c r="C43" s="53">
        <v>44848</v>
      </c>
      <c r="D43" s="53">
        <v>44697</v>
      </c>
      <c r="E43" s="53">
        <v>56042</v>
      </c>
      <c r="F43" s="53">
        <v>33503</v>
      </c>
      <c r="G43" s="53">
        <v>8091</v>
      </c>
      <c r="H43" s="53">
        <v>34087</v>
      </c>
      <c r="I43" s="54">
        <v>11153</v>
      </c>
      <c r="J43" s="53">
        <v>7611</v>
      </c>
      <c r="K43" s="53">
        <v>3542</v>
      </c>
      <c r="L43" s="312">
        <v>6875</v>
      </c>
      <c r="M43" s="313">
        <v>6572</v>
      </c>
    </row>
    <row r="44" spans="1:13" ht="11.15" customHeight="1" x14ac:dyDescent="0.2">
      <c r="A44" s="311" t="s">
        <v>392</v>
      </c>
      <c r="B44" s="54">
        <v>88654</v>
      </c>
      <c r="C44" s="53">
        <v>44211</v>
      </c>
      <c r="D44" s="53">
        <v>44443</v>
      </c>
      <c r="E44" s="53">
        <v>55274</v>
      </c>
      <c r="F44" s="53">
        <v>33380</v>
      </c>
      <c r="G44" s="53">
        <v>7901</v>
      </c>
      <c r="H44" s="53">
        <v>33662</v>
      </c>
      <c r="I44" s="54">
        <v>11161</v>
      </c>
      <c r="J44" s="53">
        <v>7644</v>
      </c>
      <c r="K44" s="53">
        <v>3517</v>
      </c>
      <c r="L44" s="312">
        <v>3576</v>
      </c>
      <c r="M44" s="313">
        <v>4582</v>
      </c>
    </row>
    <row r="45" spans="1:13" ht="15" customHeight="1" x14ac:dyDescent="0.2">
      <c r="A45" s="311" t="s">
        <v>402</v>
      </c>
      <c r="B45" s="54">
        <v>87819</v>
      </c>
      <c r="C45" s="53">
        <v>43691</v>
      </c>
      <c r="D45" s="53">
        <v>44128</v>
      </c>
      <c r="E45" s="53">
        <v>54564</v>
      </c>
      <c r="F45" s="53">
        <v>33255</v>
      </c>
      <c r="G45" s="53">
        <v>7628</v>
      </c>
      <c r="H45" s="53">
        <v>33270</v>
      </c>
      <c r="I45" s="54">
        <v>11070</v>
      </c>
      <c r="J45" s="53">
        <v>7551</v>
      </c>
      <c r="K45" s="53">
        <v>3519</v>
      </c>
      <c r="L45" s="312">
        <v>5079</v>
      </c>
      <c r="M45" s="313">
        <v>5916</v>
      </c>
    </row>
    <row r="46" spans="1:13" ht="11.15" customHeight="1" x14ac:dyDescent="0.2">
      <c r="A46" s="311" t="s">
        <v>394</v>
      </c>
      <c r="B46" s="54">
        <v>88265</v>
      </c>
      <c r="C46" s="53">
        <v>43837</v>
      </c>
      <c r="D46" s="53">
        <v>44428</v>
      </c>
      <c r="E46" s="53">
        <v>54570</v>
      </c>
      <c r="F46" s="53">
        <v>33695</v>
      </c>
      <c r="G46" s="53">
        <v>7405</v>
      </c>
      <c r="H46" s="53">
        <v>33657</v>
      </c>
      <c r="I46" s="54">
        <v>11352</v>
      </c>
      <c r="J46" s="53">
        <v>7760</v>
      </c>
      <c r="K46" s="53">
        <v>3592</v>
      </c>
      <c r="L46" s="312">
        <v>4313</v>
      </c>
      <c r="M46" s="313">
        <v>4546</v>
      </c>
    </row>
    <row r="47" spans="1:13" ht="11.15" customHeight="1" x14ac:dyDescent="0.2">
      <c r="A47" s="311" t="s">
        <v>391</v>
      </c>
      <c r="B47" s="54">
        <v>89302</v>
      </c>
      <c r="C47" s="53">
        <v>44432</v>
      </c>
      <c r="D47" s="53">
        <v>44870</v>
      </c>
      <c r="E47" s="53">
        <v>55180</v>
      </c>
      <c r="F47" s="53">
        <v>34122</v>
      </c>
      <c r="G47" s="53">
        <v>8270</v>
      </c>
      <c r="H47" s="53">
        <v>33444</v>
      </c>
      <c r="I47" s="54">
        <v>11401</v>
      </c>
      <c r="J47" s="53">
        <v>7668</v>
      </c>
      <c r="K47" s="53">
        <v>3733</v>
      </c>
      <c r="L47" s="312">
        <v>6212</v>
      </c>
      <c r="M47" s="313">
        <v>5644</v>
      </c>
    </row>
    <row r="48" spans="1:13" ht="11.15" customHeight="1" x14ac:dyDescent="0.2">
      <c r="A48" s="311" t="s">
        <v>392</v>
      </c>
      <c r="B48" s="54">
        <v>88337</v>
      </c>
      <c r="C48" s="53">
        <v>43830</v>
      </c>
      <c r="D48" s="53">
        <v>44507</v>
      </c>
      <c r="E48" s="53">
        <v>54374</v>
      </c>
      <c r="F48" s="53">
        <v>33963</v>
      </c>
      <c r="G48" s="53">
        <v>8019</v>
      </c>
      <c r="H48" s="53">
        <v>33047</v>
      </c>
      <c r="I48" s="54">
        <v>11370</v>
      </c>
      <c r="J48" s="53">
        <v>7625</v>
      </c>
      <c r="K48" s="53">
        <v>3745</v>
      </c>
      <c r="L48" s="312">
        <v>3451</v>
      </c>
      <c r="M48" s="313">
        <v>4479</v>
      </c>
    </row>
    <row r="49" spans="1:14" ht="15" customHeight="1" x14ac:dyDescent="0.2">
      <c r="A49" s="311" t="s">
        <v>403</v>
      </c>
      <c r="B49" s="54">
        <v>87355</v>
      </c>
      <c r="C49" s="53">
        <v>43343</v>
      </c>
      <c r="D49" s="53">
        <v>44012</v>
      </c>
      <c r="E49" s="53">
        <v>53667</v>
      </c>
      <c r="F49" s="53">
        <v>33688</v>
      </c>
      <c r="G49" s="53">
        <v>7766</v>
      </c>
      <c r="H49" s="53">
        <v>32686</v>
      </c>
      <c r="I49" s="54">
        <v>11201</v>
      </c>
      <c r="J49" s="53">
        <v>7546</v>
      </c>
      <c r="K49" s="53">
        <v>3655</v>
      </c>
      <c r="L49" s="312">
        <v>5180</v>
      </c>
      <c r="M49" s="313">
        <v>6125</v>
      </c>
    </row>
    <row r="50" spans="1:14" ht="11.15" customHeight="1" x14ac:dyDescent="0.2">
      <c r="A50" s="311" t="s">
        <v>394</v>
      </c>
      <c r="B50" s="82">
        <v>87540</v>
      </c>
      <c r="C50" s="83">
        <v>43622</v>
      </c>
      <c r="D50" s="83">
        <v>43918</v>
      </c>
      <c r="E50" s="83">
        <v>53578</v>
      </c>
      <c r="F50" s="83">
        <v>33962</v>
      </c>
      <c r="G50" s="83">
        <v>7593</v>
      </c>
      <c r="H50" s="83">
        <v>32885</v>
      </c>
      <c r="I50" s="82">
        <v>11635</v>
      </c>
      <c r="J50" s="83">
        <v>7885</v>
      </c>
      <c r="K50" s="83">
        <v>3750</v>
      </c>
      <c r="L50" s="315">
        <v>4822</v>
      </c>
      <c r="M50" s="316">
        <v>4680</v>
      </c>
    </row>
    <row r="51" spans="1:14" s="60" customFormat="1" ht="11.25" customHeight="1" x14ac:dyDescent="0.2">
      <c r="A51" s="317"/>
      <c r="B51" s="317"/>
      <c r="C51" s="317"/>
      <c r="D51" s="317"/>
      <c r="E51" s="317"/>
      <c r="F51" s="317"/>
      <c r="G51" s="317"/>
      <c r="H51" s="317"/>
      <c r="I51" s="317"/>
      <c r="J51" s="317"/>
      <c r="K51" s="87"/>
      <c r="L51" s="317"/>
      <c r="M51" s="88" t="s">
        <v>37</v>
      </c>
    </row>
    <row r="52" spans="1:14" s="60" customFormat="1" ht="21" customHeight="1" x14ac:dyDescent="0.2">
      <c r="A52" s="440" t="s">
        <v>404</v>
      </c>
      <c r="B52" s="440"/>
      <c r="C52" s="440"/>
      <c r="D52" s="440"/>
      <c r="E52" s="440"/>
      <c r="F52" s="440"/>
      <c r="G52" s="440"/>
      <c r="H52" s="440"/>
      <c r="I52" s="440"/>
      <c r="J52" s="440"/>
      <c r="K52" s="440"/>
      <c r="L52" s="440"/>
      <c r="M52" s="440"/>
    </row>
    <row r="53" spans="1:14" s="60" customFormat="1" ht="12" customHeight="1" x14ac:dyDescent="0.2">
      <c r="A53" s="523" t="s">
        <v>405</v>
      </c>
      <c r="B53" s="523"/>
      <c r="C53" s="523"/>
      <c r="D53" s="523"/>
      <c r="E53" s="523"/>
      <c r="F53" s="523"/>
      <c r="G53" s="523"/>
      <c r="H53" s="523"/>
      <c r="I53" s="523"/>
      <c r="J53" s="523"/>
      <c r="K53" s="523"/>
      <c r="L53" s="523"/>
      <c r="M53" s="523"/>
    </row>
    <row r="54" spans="1:14" s="87" customFormat="1" ht="12.75" customHeight="1" x14ac:dyDescent="0.2">
      <c r="A54" s="440" t="s">
        <v>323</v>
      </c>
      <c r="B54" s="440"/>
      <c r="C54" s="440"/>
      <c r="D54" s="440"/>
      <c r="E54" s="440"/>
      <c r="F54" s="440"/>
      <c r="G54" s="440"/>
      <c r="H54" s="440"/>
      <c r="I54" s="440"/>
      <c r="J54" s="440"/>
      <c r="K54" s="440"/>
      <c r="L54" s="440"/>
      <c r="M54" s="440"/>
    </row>
    <row r="55" spans="1:14" s="140" customFormat="1" ht="12.75" customHeight="1" x14ac:dyDescent="0.2">
      <c r="A55" s="442"/>
      <c r="B55" s="443"/>
      <c r="C55" s="443"/>
      <c r="D55" s="443"/>
      <c r="E55" s="443"/>
      <c r="F55" s="443"/>
      <c r="G55" s="443"/>
      <c r="H55" s="443"/>
      <c r="I55" s="443"/>
      <c r="J55" s="443"/>
      <c r="K55" s="443"/>
    </row>
    <row r="56" spans="1:14" s="140" customFormat="1" ht="18" customHeight="1" x14ac:dyDescent="0.3">
      <c r="A56" s="524" t="s">
        <v>552</v>
      </c>
      <c r="B56" s="524"/>
      <c r="C56" s="524"/>
      <c r="D56" s="524"/>
      <c r="E56" s="524"/>
      <c r="F56" s="524"/>
      <c r="G56" s="524"/>
      <c r="H56" s="524"/>
      <c r="I56" s="524"/>
      <c r="J56" s="524"/>
      <c r="K56" s="524"/>
    </row>
    <row r="57" spans="1:14" s="140" customFormat="1" ht="11.25" customHeight="1" x14ac:dyDescent="0.3">
      <c r="A57" s="525"/>
      <c r="B57" s="525"/>
      <c r="C57" s="525"/>
      <c r="D57" s="525"/>
      <c r="E57" s="525"/>
      <c r="F57" s="525"/>
      <c r="G57" s="525"/>
      <c r="H57" s="525"/>
      <c r="I57" s="525"/>
      <c r="J57" s="525"/>
      <c r="L57" s="143"/>
      <c r="N57" s="143"/>
    </row>
    <row r="58" spans="1:14" ht="12.75" customHeight="1" x14ac:dyDescent="0.3">
      <c r="A58" s="318"/>
      <c r="B58" s="318"/>
      <c r="C58" s="318"/>
      <c r="D58" s="318"/>
      <c r="E58" s="318"/>
      <c r="F58" s="318"/>
      <c r="G58" s="318"/>
      <c r="H58" s="318"/>
      <c r="I58" s="318"/>
      <c r="J58" s="318"/>
      <c r="L58" s="318"/>
      <c r="N58" s="115"/>
    </row>
    <row r="59" spans="1:14" ht="12.75" customHeight="1" x14ac:dyDescent="0.3">
      <c r="A59" s="318"/>
      <c r="B59" s="318"/>
      <c r="C59" s="318"/>
      <c r="D59" s="318"/>
      <c r="E59" s="318"/>
      <c r="F59" s="318"/>
      <c r="G59" s="318"/>
      <c r="H59" s="318"/>
      <c r="I59" s="318"/>
      <c r="J59" s="318"/>
      <c r="L59" s="318"/>
    </row>
    <row r="60" spans="1:14" ht="12.75" customHeight="1" x14ac:dyDescent="0.2">
      <c r="B60" s="37"/>
      <c r="C60" s="37"/>
      <c r="D60" s="37"/>
      <c r="E60" s="37"/>
      <c r="F60" s="37"/>
      <c r="G60" s="37"/>
      <c r="H60" s="37"/>
      <c r="I60" s="37"/>
      <c r="J60" s="37"/>
      <c r="L60" s="37"/>
    </row>
    <row r="61" spans="1:14" ht="12.75" customHeight="1" x14ac:dyDescent="0.2">
      <c r="B61" s="37"/>
      <c r="C61" s="37"/>
      <c r="D61" s="37"/>
      <c r="E61" s="37"/>
      <c r="F61" s="37"/>
      <c r="G61" s="37"/>
      <c r="H61" s="37"/>
      <c r="I61" s="37"/>
      <c r="J61" s="37"/>
      <c r="L61" s="37"/>
    </row>
    <row r="62" spans="1:14" ht="12.75" customHeight="1" x14ac:dyDescent="0.2">
      <c r="B62" s="37"/>
      <c r="C62" s="37"/>
      <c r="D62" s="37"/>
      <c r="E62" s="37"/>
      <c r="F62" s="37"/>
      <c r="G62" s="37"/>
      <c r="H62" s="37"/>
      <c r="I62" s="37"/>
      <c r="J62" s="37"/>
      <c r="L62" s="37"/>
    </row>
    <row r="63" spans="1:14" ht="12.75" customHeight="1" x14ac:dyDescent="0.2">
      <c r="B63" s="37"/>
      <c r="C63" s="37"/>
      <c r="D63" s="37"/>
      <c r="E63" s="37"/>
      <c r="F63" s="37"/>
      <c r="G63" s="37"/>
      <c r="H63" s="37"/>
      <c r="I63" s="37"/>
      <c r="J63" s="37"/>
      <c r="L63" s="37"/>
    </row>
    <row r="64" spans="1:14" ht="16" customHeight="1" x14ac:dyDescent="0.2">
      <c r="B64" s="37"/>
      <c r="C64" s="37"/>
      <c r="D64" s="37"/>
      <c r="E64" s="37"/>
      <c r="F64" s="37"/>
      <c r="G64" s="37"/>
      <c r="H64" s="37"/>
      <c r="I64" s="37"/>
      <c r="J64" s="37"/>
      <c r="L64" s="37"/>
    </row>
    <row r="65" spans="2:13" ht="16" customHeight="1" x14ac:dyDescent="0.2">
      <c r="B65" s="37"/>
      <c r="C65" s="37"/>
      <c r="D65" s="37"/>
      <c r="E65" s="37"/>
      <c r="F65" s="37"/>
      <c r="G65" s="37"/>
      <c r="H65" s="37"/>
      <c r="I65" s="37"/>
      <c r="J65" s="37"/>
      <c r="L65" s="37"/>
    </row>
    <row r="66" spans="2:13" ht="16" customHeight="1" x14ac:dyDescent="0.2">
      <c r="B66" s="37"/>
      <c r="C66" s="37"/>
      <c r="D66" s="37"/>
      <c r="E66" s="37"/>
      <c r="F66" s="37"/>
      <c r="G66" s="37"/>
      <c r="H66" s="37"/>
      <c r="I66" s="37"/>
      <c r="J66" s="37"/>
      <c r="L66" s="37"/>
    </row>
    <row r="67" spans="2:13" ht="16" customHeight="1" x14ac:dyDescent="0.2">
      <c r="B67" s="37"/>
      <c r="C67" s="37"/>
      <c r="D67" s="37"/>
      <c r="E67" s="37"/>
      <c r="F67" s="37"/>
      <c r="G67" s="37"/>
      <c r="H67" s="37"/>
      <c r="I67" s="37"/>
      <c r="J67" s="37"/>
      <c r="L67" s="37"/>
    </row>
    <row r="68" spans="2:13" ht="16" customHeight="1" x14ac:dyDescent="0.2">
      <c r="B68" s="37"/>
      <c r="C68" s="37"/>
      <c r="D68" s="37"/>
      <c r="E68" s="37"/>
      <c r="F68" s="37"/>
      <c r="G68" s="37"/>
      <c r="H68" s="37"/>
      <c r="I68" s="37"/>
      <c r="J68" s="37"/>
      <c r="L68" s="37"/>
    </row>
    <row r="69" spans="2:13" ht="16" customHeight="1" x14ac:dyDescent="0.2">
      <c r="B69" s="37"/>
      <c r="C69" s="37"/>
      <c r="D69" s="37"/>
      <c r="E69" s="37"/>
      <c r="F69" s="37"/>
      <c r="G69" s="37"/>
      <c r="H69" s="37"/>
      <c r="I69" s="37"/>
      <c r="J69" s="37"/>
      <c r="L69" s="37"/>
    </row>
    <row r="70" spans="2:13" ht="16" customHeight="1" x14ac:dyDescent="0.2">
      <c r="B70" s="37"/>
      <c r="C70" s="37"/>
      <c r="D70" s="37"/>
      <c r="E70" s="37"/>
      <c r="F70" s="37"/>
      <c r="G70" s="37"/>
      <c r="H70" s="37"/>
      <c r="I70" s="37"/>
      <c r="J70" s="37"/>
      <c r="K70" s="178"/>
      <c r="L70" s="37"/>
      <c r="M70" s="178"/>
    </row>
    <row r="71" spans="2:13" ht="16" customHeight="1" x14ac:dyDescent="0.2">
      <c r="B71" s="37"/>
      <c r="C71" s="37"/>
      <c r="D71" s="37"/>
      <c r="E71" s="37"/>
      <c r="F71" s="37"/>
      <c r="G71" s="37"/>
      <c r="H71" s="37"/>
      <c r="I71" s="37"/>
      <c r="J71" s="37"/>
      <c r="K71" s="178"/>
      <c r="L71" s="37"/>
      <c r="M71" s="178"/>
    </row>
    <row r="72" spans="2:13" ht="16" customHeight="1" x14ac:dyDescent="0.2">
      <c r="B72" s="37"/>
      <c r="C72" s="37"/>
      <c r="D72" s="37"/>
      <c r="E72" s="37"/>
      <c r="F72" s="37"/>
      <c r="G72" s="37"/>
      <c r="H72" s="37"/>
      <c r="I72" s="37"/>
      <c r="J72" s="37"/>
      <c r="K72" s="178"/>
      <c r="L72" s="37"/>
      <c r="M72" s="178"/>
    </row>
    <row r="73" spans="2:13" ht="16" customHeight="1" x14ac:dyDescent="0.2">
      <c r="B73" s="37"/>
      <c r="C73" s="37"/>
      <c r="D73" s="37"/>
      <c r="E73" s="37"/>
      <c r="F73" s="37"/>
      <c r="G73" s="37"/>
      <c r="H73" s="37"/>
      <c r="I73" s="37"/>
      <c r="J73" s="37"/>
      <c r="L73" s="37"/>
    </row>
    <row r="74" spans="2:13" ht="16" customHeight="1" x14ac:dyDescent="0.2">
      <c r="B74" s="37"/>
      <c r="C74" s="37"/>
      <c r="D74" s="37"/>
      <c r="E74" s="37"/>
      <c r="F74" s="37"/>
      <c r="G74" s="37"/>
      <c r="H74" s="37"/>
      <c r="I74" s="37"/>
      <c r="J74" s="37"/>
      <c r="L74" s="37"/>
    </row>
    <row r="75" spans="2:13" ht="16" customHeight="1" x14ac:dyDescent="0.2">
      <c r="B75" s="37"/>
      <c r="C75" s="37"/>
      <c r="D75" s="37"/>
      <c r="E75" s="37"/>
      <c r="F75" s="37"/>
      <c r="G75" s="37"/>
      <c r="H75" s="37"/>
      <c r="I75" s="37"/>
      <c r="J75" s="37"/>
      <c r="L75" s="37"/>
    </row>
    <row r="76" spans="2:13" ht="16" customHeight="1" x14ac:dyDescent="0.2">
      <c r="B76" s="37"/>
      <c r="C76" s="37"/>
      <c r="D76" s="37"/>
      <c r="E76" s="37"/>
      <c r="F76" s="37"/>
      <c r="G76" s="37"/>
      <c r="H76" s="37"/>
      <c r="I76" s="37"/>
      <c r="J76" s="37"/>
      <c r="L76" s="37"/>
    </row>
    <row r="77" spans="2:13" ht="16" customHeight="1" x14ac:dyDescent="0.2">
      <c r="B77" s="37"/>
      <c r="C77" s="37"/>
      <c r="D77" s="37"/>
      <c r="E77" s="37"/>
      <c r="F77" s="37"/>
      <c r="G77" s="37"/>
      <c r="H77" s="37"/>
      <c r="I77" s="37"/>
      <c r="J77" s="37"/>
      <c r="L77" s="37"/>
    </row>
    <row r="78" spans="2:13" ht="16" customHeight="1" x14ac:dyDescent="0.2">
      <c r="B78" s="37"/>
      <c r="C78" s="37"/>
      <c r="D78" s="37"/>
      <c r="E78" s="37"/>
      <c r="F78" s="37"/>
      <c r="G78" s="37"/>
      <c r="H78" s="37"/>
      <c r="I78" s="37"/>
      <c r="J78" s="37"/>
      <c r="L78" s="37"/>
    </row>
    <row r="79" spans="2:13" ht="16" customHeight="1" x14ac:dyDescent="0.2">
      <c r="B79" s="37"/>
      <c r="C79" s="37"/>
      <c r="D79" s="37"/>
      <c r="E79" s="37"/>
      <c r="F79" s="37"/>
      <c r="G79" s="37"/>
      <c r="H79" s="37"/>
      <c r="I79" s="37"/>
      <c r="J79" s="37"/>
      <c r="L79" s="37"/>
    </row>
    <row r="80" spans="2:13" ht="16" customHeight="1" x14ac:dyDescent="0.2">
      <c r="B80" s="37"/>
      <c r="C80" s="37"/>
      <c r="D80" s="37"/>
      <c r="E80" s="37"/>
      <c r="F80" s="37"/>
      <c r="G80" s="37"/>
      <c r="H80" s="37"/>
      <c r="I80" s="37"/>
      <c r="J80" s="37"/>
      <c r="L80" s="37"/>
    </row>
    <row r="81" s="37" customFormat="1" ht="16" customHeight="1" x14ac:dyDescent="0.2"/>
    <row r="82" s="37" customFormat="1" ht="16" customHeight="1" x14ac:dyDescent="0.2"/>
    <row r="83" s="37" customFormat="1" ht="16" customHeight="1" x14ac:dyDescent="0.2"/>
    <row r="84" s="37" customFormat="1" ht="16" customHeight="1" x14ac:dyDescent="0.2"/>
    <row r="85" s="37" customFormat="1" ht="16" customHeight="1" x14ac:dyDescent="0.2"/>
    <row r="86" s="37" customFormat="1" ht="16" customHeight="1" x14ac:dyDescent="0.2"/>
    <row r="87" s="37" customFormat="1" ht="16" customHeight="1" x14ac:dyDescent="0.2"/>
    <row r="88" s="37" customFormat="1" ht="16" customHeight="1" x14ac:dyDescent="0.2"/>
    <row r="89" s="37" customFormat="1" ht="16" customHeight="1" x14ac:dyDescent="0.2"/>
    <row r="90" s="37" customFormat="1" ht="16" customHeight="1" x14ac:dyDescent="0.2"/>
    <row r="91" s="37" customFormat="1" ht="16" customHeight="1" x14ac:dyDescent="0.2"/>
    <row r="92" s="37" customFormat="1" ht="16" customHeight="1" x14ac:dyDescent="0.2"/>
    <row r="93" s="37" customFormat="1" ht="16" customHeight="1" x14ac:dyDescent="0.2"/>
    <row r="94" s="37" customFormat="1" ht="16" customHeight="1" x14ac:dyDescent="0.2"/>
    <row r="95" s="37" customFormat="1" ht="16" customHeight="1" x14ac:dyDescent="0.2"/>
    <row r="96" s="37" customFormat="1" ht="16" customHeight="1" x14ac:dyDescent="0.2"/>
    <row r="97" s="37" customFormat="1" ht="16" customHeight="1" x14ac:dyDescent="0.2"/>
    <row r="98" s="37" customFormat="1" ht="16" customHeight="1" x14ac:dyDescent="0.2"/>
    <row r="99" s="37" customFormat="1" ht="16" customHeight="1" x14ac:dyDescent="0.2"/>
    <row r="100" s="37" customFormat="1" ht="16" customHeight="1" x14ac:dyDescent="0.2"/>
    <row r="101" s="37" customFormat="1" ht="16" customHeight="1" x14ac:dyDescent="0.2"/>
    <row r="102" s="37" customFormat="1" ht="16" customHeight="1" x14ac:dyDescent="0.2"/>
    <row r="103" s="37" customFormat="1" ht="16" customHeight="1" x14ac:dyDescent="0.2"/>
    <row r="104" s="37" customFormat="1" ht="16" customHeight="1" x14ac:dyDescent="0.2"/>
    <row r="105" s="37" customFormat="1" ht="16" customHeight="1" x14ac:dyDescent="0.2"/>
    <row r="106" s="37" customFormat="1" ht="16" customHeight="1" x14ac:dyDescent="0.2"/>
    <row r="107" s="37" customFormat="1" ht="16" customHeight="1" x14ac:dyDescent="0.2"/>
    <row r="108" s="37" customFormat="1" ht="16" customHeight="1" x14ac:dyDescent="0.2"/>
    <row r="109" s="37" customFormat="1" ht="16" customHeight="1" x14ac:dyDescent="0.2"/>
    <row r="110" s="37" customFormat="1" ht="16" customHeight="1" x14ac:dyDescent="0.2"/>
    <row r="111" s="37" customFormat="1" ht="16" customHeight="1" x14ac:dyDescent="0.2"/>
    <row r="112" s="37" customFormat="1" ht="16" customHeight="1" x14ac:dyDescent="0.2"/>
    <row r="113" s="37" customFormat="1" ht="16" customHeight="1" x14ac:dyDescent="0.2"/>
    <row r="114" s="37" customFormat="1" ht="16" customHeight="1" x14ac:dyDescent="0.2"/>
    <row r="115" s="37" customFormat="1" ht="16" customHeight="1" x14ac:dyDescent="0.2"/>
    <row r="116" s="37" customFormat="1" ht="16" customHeight="1" x14ac:dyDescent="0.2"/>
    <row r="117" s="37" customFormat="1" ht="16" customHeight="1" x14ac:dyDescent="0.2"/>
    <row r="118" s="37" customFormat="1" ht="16" customHeight="1" x14ac:dyDescent="0.2"/>
    <row r="119" s="37" customFormat="1" ht="16" customHeight="1" x14ac:dyDescent="0.2"/>
    <row r="120" s="37" customFormat="1" ht="16" customHeight="1" x14ac:dyDescent="0.2"/>
    <row r="121" s="37" customFormat="1" ht="16" customHeight="1" x14ac:dyDescent="0.2"/>
    <row r="122" s="37" customFormat="1" ht="16" customHeight="1" x14ac:dyDescent="0.2"/>
    <row r="123" s="37" customFormat="1" ht="16" customHeight="1" x14ac:dyDescent="0.2"/>
    <row r="124" s="37" customFormat="1" ht="16" customHeight="1" x14ac:dyDescent="0.2"/>
    <row r="125" s="37" customFormat="1" ht="16" customHeight="1" x14ac:dyDescent="0.2"/>
    <row r="126" s="37" customFormat="1" ht="16" customHeight="1" x14ac:dyDescent="0.2"/>
    <row r="127" s="37" customFormat="1" ht="16" customHeight="1" x14ac:dyDescent="0.2"/>
    <row r="128" s="37" customFormat="1" ht="16" customHeight="1" x14ac:dyDescent="0.2"/>
    <row r="129" s="37" customFormat="1" ht="16" customHeight="1" x14ac:dyDescent="0.2"/>
    <row r="130" s="37" customFormat="1" ht="16" customHeight="1" x14ac:dyDescent="0.2"/>
    <row r="131" s="37" customFormat="1" ht="16" customHeight="1" x14ac:dyDescent="0.2"/>
    <row r="132" s="37" customFormat="1" ht="16" customHeight="1" x14ac:dyDescent="0.2"/>
    <row r="133" s="37" customFormat="1" ht="16" customHeight="1" x14ac:dyDescent="0.2"/>
    <row r="134" s="37" customFormat="1" ht="16" customHeight="1" x14ac:dyDescent="0.2"/>
    <row r="135" s="37" customFormat="1" ht="16" customHeight="1" x14ac:dyDescent="0.2"/>
    <row r="136" s="37" customFormat="1" ht="16" customHeight="1" x14ac:dyDescent="0.2"/>
    <row r="137" s="37" customFormat="1" ht="16" customHeight="1" x14ac:dyDescent="0.2"/>
    <row r="138" s="37" customFormat="1" ht="16" customHeight="1" x14ac:dyDescent="0.2"/>
    <row r="139" s="37" customFormat="1" ht="16" customHeight="1" x14ac:dyDescent="0.2"/>
    <row r="140" s="37" customFormat="1" ht="16" customHeight="1" x14ac:dyDescent="0.2"/>
    <row r="141" s="37" customFormat="1" ht="16" customHeight="1" x14ac:dyDescent="0.2"/>
    <row r="142" s="37" customFormat="1" ht="16" customHeight="1" x14ac:dyDescent="0.2"/>
    <row r="143" s="37" customFormat="1" ht="16" customHeight="1" x14ac:dyDescent="0.2"/>
    <row r="144" s="37" customFormat="1" ht="16" customHeight="1" x14ac:dyDescent="0.2"/>
    <row r="145" s="37" customFormat="1" ht="16" customHeight="1" x14ac:dyDescent="0.2"/>
    <row r="146" s="37" customFormat="1" ht="16" customHeight="1" x14ac:dyDescent="0.2"/>
    <row r="147" s="37" customFormat="1" ht="16" customHeight="1" x14ac:dyDescent="0.2"/>
    <row r="148" s="37" customFormat="1" ht="16" customHeight="1" x14ac:dyDescent="0.2"/>
    <row r="149" s="37" customFormat="1" ht="16" customHeight="1" x14ac:dyDescent="0.2"/>
    <row r="150" s="37" customFormat="1" ht="16" customHeight="1" x14ac:dyDescent="0.2"/>
    <row r="151" s="37" customFormat="1" ht="16" customHeight="1" x14ac:dyDescent="0.2"/>
    <row r="152" s="37" customFormat="1" ht="16" customHeight="1" x14ac:dyDescent="0.2"/>
    <row r="153" s="37" customFormat="1" ht="16" customHeight="1" x14ac:dyDescent="0.2"/>
    <row r="154" s="37" customFormat="1" ht="16" customHeight="1" x14ac:dyDescent="0.2"/>
    <row r="155" s="37" customFormat="1" ht="16" customHeight="1" x14ac:dyDescent="0.2"/>
    <row r="156" s="37" customFormat="1" ht="16" customHeight="1" x14ac:dyDescent="0.2"/>
    <row r="157" s="37" customFormat="1" ht="16" customHeight="1" x14ac:dyDescent="0.2"/>
    <row r="158" s="37" customFormat="1" ht="16" customHeight="1" x14ac:dyDescent="0.2"/>
    <row r="159" s="37" customFormat="1" ht="16" customHeight="1" x14ac:dyDescent="0.2"/>
    <row r="160" s="37" customFormat="1" ht="16" customHeight="1" x14ac:dyDescent="0.2"/>
    <row r="161" s="37" customFormat="1" ht="16" customHeight="1" x14ac:dyDescent="0.2"/>
    <row r="162" s="37" customFormat="1" ht="16" customHeight="1" x14ac:dyDescent="0.2"/>
    <row r="163" s="37" customFormat="1" ht="16" customHeight="1" x14ac:dyDescent="0.2"/>
    <row r="164" s="37" customFormat="1" ht="16" customHeight="1" x14ac:dyDescent="0.2"/>
    <row r="165" s="37" customFormat="1" ht="16" customHeight="1" x14ac:dyDescent="0.2"/>
    <row r="166" s="37" customFormat="1" ht="16" customHeight="1" x14ac:dyDescent="0.2"/>
    <row r="167" s="37" customFormat="1" ht="16" customHeight="1" x14ac:dyDescent="0.2"/>
    <row r="168" s="37" customFormat="1" ht="16" customHeight="1" x14ac:dyDescent="0.2"/>
    <row r="169" s="37" customFormat="1" ht="16" customHeight="1" x14ac:dyDescent="0.2"/>
    <row r="170" s="37" customFormat="1" ht="16" customHeight="1" x14ac:dyDescent="0.2"/>
    <row r="171" s="37" customFormat="1" ht="16" customHeight="1" x14ac:dyDescent="0.2"/>
    <row r="172" s="37" customFormat="1" ht="16" customHeight="1" x14ac:dyDescent="0.2"/>
    <row r="173" s="37" customFormat="1" ht="16" customHeight="1" x14ac:dyDescent="0.2"/>
    <row r="174" s="37" customFormat="1" ht="16" customHeight="1" x14ac:dyDescent="0.2"/>
    <row r="175" s="37" customFormat="1" ht="16" customHeight="1" x14ac:dyDescent="0.2"/>
    <row r="176" s="37" customFormat="1" ht="16" customHeight="1" x14ac:dyDescent="0.2"/>
    <row r="177" s="37" customFormat="1" ht="16" customHeight="1" x14ac:dyDescent="0.2"/>
    <row r="178" s="37" customFormat="1" ht="16" customHeight="1" x14ac:dyDescent="0.2"/>
    <row r="179" s="37" customFormat="1" ht="16" customHeight="1" x14ac:dyDescent="0.2"/>
    <row r="180" s="37" customFormat="1" ht="16" customHeight="1" x14ac:dyDescent="0.2"/>
    <row r="181" s="37" customFormat="1" ht="16" customHeight="1" x14ac:dyDescent="0.2"/>
    <row r="182" s="37" customFormat="1" ht="16" customHeight="1" x14ac:dyDescent="0.2"/>
    <row r="183" s="37" customFormat="1" ht="16" customHeight="1" x14ac:dyDescent="0.2"/>
    <row r="184" s="37" customFormat="1" ht="16" customHeight="1" x14ac:dyDescent="0.2"/>
    <row r="185" s="37" customFormat="1" ht="16" customHeight="1" x14ac:dyDescent="0.2"/>
    <row r="186" s="37" customFormat="1" ht="16" customHeight="1" x14ac:dyDescent="0.2"/>
    <row r="187" s="37" customFormat="1" ht="16" customHeight="1" x14ac:dyDescent="0.2"/>
    <row r="188" s="37" customFormat="1" ht="16" customHeight="1" x14ac:dyDescent="0.2"/>
    <row r="189" s="37" customFormat="1" ht="16" customHeight="1" x14ac:dyDescent="0.2"/>
    <row r="190" s="37" customFormat="1" ht="16" customHeight="1" x14ac:dyDescent="0.2"/>
    <row r="191" s="37" customFormat="1" ht="16" customHeight="1" x14ac:dyDescent="0.2"/>
    <row r="192" s="37" customFormat="1" ht="16" customHeight="1" x14ac:dyDescent="0.2"/>
    <row r="193" s="37" customFormat="1" ht="16" customHeight="1" x14ac:dyDescent="0.2"/>
    <row r="194" s="37" customFormat="1" ht="16" customHeight="1" x14ac:dyDescent="0.2"/>
    <row r="195" s="37" customFormat="1" ht="16" customHeight="1" x14ac:dyDescent="0.2"/>
    <row r="196" s="37" customFormat="1" ht="16" customHeight="1" x14ac:dyDescent="0.2"/>
    <row r="197" s="37" customFormat="1" ht="16" customHeight="1" x14ac:dyDescent="0.2"/>
    <row r="198" s="37" customFormat="1" ht="16" customHeight="1" x14ac:dyDescent="0.2"/>
    <row r="199" s="37" customFormat="1" ht="16" customHeight="1" x14ac:dyDescent="0.2"/>
    <row r="200" s="37" customFormat="1" ht="16" customHeight="1" x14ac:dyDescent="0.2"/>
  </sheetData>
  <mergeCells count="13">
    <mergeCell ref="A57:J57"/>
    <mergeCell ref="A3:K3"/>
    <mergeCell ref="A5:B5"/>
    <mergeCell ref="A6:M6"/>
    <mergeCell ref="A7:A9"/>
    <mergeCell ref="B7:H7"/>
    <mergeCell ref="I7:K7"/>
    <mergeCell ref="L7:M7"/>
    <mergeCell ref="A52:M52"/>
    <mergeCell ref="A53:M53"/>
    <mergeCell ref="A54:M54"/>
    <mergeCell ref="A55:K55"/>
    <mergeCell ref="A56:K56"/>
  </mergeCells>
  <printOptions horizontalCentered="1"/>
  <pageMargins left="0.7" right="0.7" top="0.75" bottom="0.75" header="0.3" footer="0.3"/>
  <pageSetup paperSize="9" scale="67" fitToWidth="0" fitToHeight="0" orientation="portrait"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8BDDE-47A9-4B3E-9C13-D011451E04E5}">
  <sheetPr codeName="Tabelle31">
    <pageSetUpPr fitToPage="1"/>
  </sheetPr>
  <dimension ref="A1:F289"/>
  <sheetViews>
    <sheetView showGridLines="0" zoomScaleNormal="100" workbookViewId="0"/>
  </sheetViews>
  <sheetFormatPr defaultColWidth="11.453125" defaultRowHeight="12.5" x14ac:dyDescent="0.25"/>
  <cols>
    <col min="1" max="1" width="2.1796875" customWidth="1"/>
    <col min="2" max="2" width="104.1796875" customWidth="1"/>
    <col min="7" max="7" width="4.7265625" customWidth="1"/>
  </cols>
  <sheetData>
    <row r="1" spans="1:6" ht="39.75" customHeight="1" x14ac:dyDescent="0.25">
      <c r="A1" s="319"/>
      <c r="B1" s="32" t="s">
        <v>40</v>
      </c>
    </row>
    <row r="2" spans="1:6" ht="25.5" customHeight="1" x14ac:dyDescent="0.25">
      <c r="B2" s="164" t="s">
        <v>406</v>
      </c>
    </row>
    <row r="3" spans="1:6" ht="25" customHeight="1" x14ac:dyDescent="0.25">
      <c r="A3" s="320"/>
      <c r="B3" s="321" t="s">
        <v>407</v>
      </c>
    </row>
    <row r="4" spans="1:6" s="324" customFormat="1" ht="128" x14ac:dyDescent="0.25">
      <c r="A4" s="322"/>
      <c r="B4" s="323" t="s">
        <v>408</v>
      </c>
      <c r="C4" s="322"/>
      <c r="D4" s="322"/>
      <c r="E4" s="322"/>
      <c r="F4" s="322"/>
    </row>
    <row r="5" spans="1:6" s="324" customFormat="1" x14ac:dyDescent="0.25">
      <c r="A5" s="322"/>
      <c r="B5" s="323"/>
      <c r="C5" s="322"/>
      <c r="D5" s="322"/>
      <c r="E5" s="322"/>
      <c r="F5" s="322"/>
    </row>
    <row r="6" spans="1:6" s="324" customFormat="1" x14ac:dyDescent="0.25">
      <c r="A6" s="322"/>
      <c r="B6" s="325" t="s">
        <v>409</v>
      </c>
      <c r="C6" s="322"/>
      <c r="D6" s="322"/>
      <c r="E6" s="322"/>
      <c r="F6" s="322"/>
    </row>
    <row r="7" spans="1:6" x14ac:dyDescent="0.25">
      <c r="A7" s="320"/>
      <c r="B7" s="326"/>
      <c r="C7" s="320"/>
      <c r="D7" s="320"/>
      <c r="E7" s="320"/>
      <c r="F7" s="320"/>
    </row>
    <row r="8" spans="1:6" ht="150" customHeight="1" x14ac:dyDescent="0.25">
      <c r="A8" s="320"/>
      <c r="B8" s="327" t="s">
        <v>410</v>
      </c>
      <c r="C8" s="320"/>
      <c r="D8" s="320"/>
      <c r="E8" s="320"/>
      <c r="F8" s="320"/>
    </row>
    <row r="9" spans="1:6" x14ac:dyDescent="0.25">
      <c r="A9" s="320"/>
      <c r="B9" s="328" t="s">
        <v>411</v>
      </c>
      <c r="C9" s="320"/>
      <c r="D9" s="320"/>
      <c r="E9" s="320"/>
      <c r="F9" s="320"/>
    </row>
    <row r="10" spans="1:6" x14ac:dyDescent="0.25">
      <c r="A10" s="320"/>
      <c r="B10" s="329"/>
      <c r="C10" s="320"/>
      <c r="D10" s="320"/>
      <c r="E10" s="320"/>
      <c r="F10" s="320"/>
    </row>
    <row r="11" spans="1:6" ht="115" x14ac:dyDescent="0.25">
      <c r="A11" s="320"/>
      <c r="B11" s="327" t="s">
        <v>412</v>
      </c>
      <c r="C11" s="320"/>
      <c r="D11" s="320"/>
      <c r="E11" s="320"/>
      <c r="F11" s="320"/>
    </row>
    <row r="12" spans="1:6" x14ac:dyDescent="0.25">
      <c r="A12" s="320"/>
      <c r="B12" s="328" t="s">
        <v>413</v>
      </c>
      <c r="C12" s="320"/>
      <c r="D12" s="320"/>
      <c r="E12" s="320"/>
      <c r="F12" s="320"/>
    </row>
    <row r="13" spans="1:6" x14ac:dyDescent="0.25">
      <c r="A13" s="320"/>
      <c r="B13" s="327"/>
      <c r="C13" s="320"/>
      <c r="D13" s="320"/>
      <c r="E13" s="320"/>
      <c r="F13" s="320"/>
    </row>
    <row r="14" spans="1:6" ht="138" x14ac:dyDescent="0.25">
      <c r="A14" s="320"/>
      <c r="B14" s="327" t="s">
        <v>414</v>
      </c>
      <c r="C14" s="320"/>
      <c r="D14" s="320"/>
      <c r="E14" s="320"/>
      <c r="F14" s="320"/>
    </row>
    <row r="15" spans="1:6" x14ac:dyDescent="0.25">
      <c r="A15" s="320"/>
      <c r="B15" s="328" t="s">
        <v>415</v>
      </c>
      <c r="C15" s="320"/>
      <c r="D15" s="320"/>
      <c r="E15" s="320"/>
      <c r="F15" s="320"/>
    </row>
    <row r="16" spans="1:6" x14ac:dyDescent="0.25">
      <c r="A16" s="320"/>
      <c r="B16" s="326"/>
      <c r="C16" s="320"/>
      <c r="D16" s="320"/>
      <c r="E16" s="320"/>
      <c r="F16" s="320"/>
    </row>
    <row r="17" spans="1:6" ht="172.5" x14ac:dyDescent="0.25">
      <c r="A17" s="320"/>
      <c r="B17" s="327" t="s">
        <v>416</v>
      </c>
      <c r="C17" s="320"/>
      <c r="D17" s="320"/>
      <c r="E17" s="320"/>
      <c r="F17" s="320"/>
    </row>
    <row r="18" spans="1:6" x14ac:dyDescent="0.25">
      <c r="A18" s="320"/>
      <c r="B18" s="328" t="s">
        <v>417</v>
      </c>
      <c r="C18" s="320"/>
      <c r="D18" s="320"/>
      <c r="E18" s="320"/>
      <c r="F18" s="320"/>
    </row>
    <row r="19" spans="1:6" x14ac:dyDescent="0.25">
      <c r="A19" s="320"/>
      <c r="B19" s="327"/>
      <c r="C19" s="320"/>
      <c r="D19" s="320"/>
      <c r="E19" s="320"/>
      <c r="F19" s="320"/>
    </row>
    <row r="20" spans="1:6" ht="161" x14ac:dyDescent="0.25">
      <c r="A20" s="320"/>
      <c r="B20" s="327" t="s">
        <v>418</v>
      </c>
      <c r="C20" s="320"/>
      <c r="D20" s="320"/>
      <c r="E20" s="320"/>
      <c r="F20" s="320"/>
    </row>
    <row r="21" spans="1:6" x14ac:dyDescent="0.25">
      <c r="A21" s="320"/>
      <c r="B21" s="327"/>
      <c r="C21" s="320"/>
      <c r="D21" s="320"/>
      <c r="E21" s="320"/>
      <c r="F21" s="320"/>
    </row>
    <row r="22" spans="1:6" x14ac:dyDescent="0.25">
      <c r="A22" s="320"/>
      <c r="B22" s="326"/>
      <c r="C22" s="320"/>
      <c r="D22" s="320"/>
      <c r="E22" s="320"/>
      <c r="F22" s="320"/>
    </row>
    <row r="23" spans="1:6" x14ac:dyDescent="0.25">
      <c r="A23" s="320"/>
      <c r="B23" s="330" t="s">
        <v>419</v>
      </c>
      <c r="C23" s="320"/>
      <c r="D23" s="320"/>
      <c r="E23" s="320"/>
      <c r="F23" s="320"/>
    </row>
    <row r="24" spans="1:6" s="12" customFormat="1" ht="25" x14ac:dyDescent="0.25">
      <c r="A24" s="331"/>
      <c r="B24" s="332" t="s">
        <v>420</v>
      </c>
      <c r="C24" s="330"/>
      <c r="D24" s="330"/>
      <c r="E24" s="330"/>
      <c r="F24" s="330"/>
    </row>
    <row r="25" spans="1:6" x14ac:dyDescent="0.25">
      <c r="A25" s="333"/>
      <c r="B25" s="320"/>
      <c r="C25" s="320"/>
      <c r="D25" s="320"/>
      <c r="E25" s="320"/>
      <c r="F25" s="320"/>
    </row>
    <row r="26" spans="1:6" x14ac:dyDescent="0.25">
      <c r="A26" s="320"/>
      <c r="B26" s="320"/>
      <c r="C26" s="320"/>
      <c r="D26" s="320"/>
      <c r="E26" s="320"/>
      <c r="F26" s="320"/>
    </row>
    <row r="27" spans="1:6" x14ac:dyDescent="0.25">
      <c r="A27" s="320"/>
      <c r="B27" s="320"/>
      <c r="C27" s="320"/>
      <c r="D27" s="320"/>
      <c r="E27" s="320"/>
      <c r="F27" s="320"/>
    </row>
    <row r="28" spans="1:6" x14ac:dyDescent="0.25">
      <c r="A28" s="320"/>
      <c r="B28" s="320"/>
      <c r="C28" s="320"/>
      <c r="D28" s="320"/>
      <c r="E28" s="320"/>
      <c r="F28" s="320"/>
    </row>
    <row r="29" spans="1:6" x14ac:dyDescent="0.25">
      <c r="A29" s="320"/>
      <c r="B29" s="320"/>
      <c r="C29" s="320"/>
      <c r="D29" s="320"/>
      <c r="E29" s="320"/>
      <c r="F29" s="320"/>
    </row>
    <row r="30" spans="1:6" x14ac:dyDescent="0.25">
      <c r="A30" s="320"/>
      <c r="B30" s="320"/>
      <c r="C30" s="320"/>
      <c r="D30" s="320"/>
      <c r="E30" s="320"/>
      <c r="F30" s="320"/>
    </row>
    <row r="31" spans="1:6" x14ac:dyDescent="0.25">
      <c r="A31" s="320"/>
      <c r="B31" s="320"/>
      <c r="C31" s="320"/>
      <c r="D31" s="320"/>
      <c r="E31" s="320"/>
      <c r="F31" s="320"/>
    </row>
    <row r="32" spans="1:6" x14ac:dyDescent="0.25">
      <c r="A32" s="320"/>
      <c r="B32" s="320"/>
      <c r="C32" s="320"/>
      <c r="D32" s="320"/>
      <c r="E32" s="320"/>
      <c r="F32" s="320"/>
    </row>
    <row r="33" spans="1:6" x14ac:dyDescent="0.25">
      <c r="A33" s="329"/>
      <c r="B33" s="329"/>
      <c r="C33" s="329"/>
      <c r="D33" s="329"/>
      <c r="E33" s="329"/>
      <c r="F33" s="329"/>
    </row>
    <row r="34" spans="1:6" x14ac:dyDescent="0.25">
      <c r="A34" s="320"/>
      <c r="B34" s="320"/>
      <c r="C34" s="320"/>
      <c r="D34" s="320"/>
      <c r="E34" s="320"/>
      <c r="F34" s="320"/>
    </row>
    <row r="35" spans="1:6" x14ac:dyDescent="0.25">
      <c r="A35" s="320"/>
      <c r="B35" s="320"/>
      <c r="C35" s="320"/>
      <c r="D35" s="320"/>
      <c r="E35" s="320"/>
      <c r="F35" s="320"/>
    </row>
    <row r="36" spans="1:6" ht="8.15" customHeight="1" x14ac:dyDescent="0.25">
      <c r="A36" s="320"/>
      <c r="B36" s="320"/>
      <c r="C36" s="320"/>
      <c r="D36" s="320"/>
      <c r="E36" s="320"/>
      <c r="F36" s="320"/>
    </row>
    <row r="37" spans="1:6" ht="13.5" customHeight="1" x14ac:dyDescent="0.25">
      <c r="A37" s="320"/>
      <c r="B37" s="320"/>
      <c r="C37" s="320"/>
      <c r="D37" s="320"/>
      <c r="E37" s="320"/>
      <c r="F37" s="320"/>
    </row>
    <row r="38" spans="1:6" x14ac:dyDescent="0.25">
      <c r="A38" s="320"/>
      <c r="B38" s="320"/>
      <c r="C38" s="320"/>
      <c r="D38" s="320"/>
      <c r="E38" s="320"/>
      <c r="F38" s="320"/>
    </row>
    <row r="39" spans="1:6" x14ac:dyDescent="0.25">
      <c r="A39" s="320"/>
      <c r="B39" s="320"/>
      <c r="C39" s="320"/>
      <c r="D39" s="320"/>
      <c r="E39" s="320"/>
      <c r="F39" s="320"/>
    </row>
    <row r="40" spans="1:6" x14ac:dyDescent="0.25">
      <c r="A40" s="320"/>
      <c r="B40" s="320"/>
      <c r="C40" s="320"/>
      <c r="D40" s="320"/>
      <c r="E40" s="320"/>
      <c r="F40" s="320"/>
    </row>
    <row r="41" spans="1:6" x14ac:dyDescent="0.25">
      <c r="A41" s="320"/>
      <c r="B41" s="320"/>
      <c r="C41" s="320"/>
      <c r="D41" s="320"/>
      <c r="E41" s="320"/>
      <c r="F41" s="320"/>
    </row>
    <row r="42" spans="1:6" x14ac:dyDescent="0.25">
      <c r="A42" s="320"/>
      <c r="B42" s="320"/>
      <c r="C42" s="320"/>
      <c r="D42" s="320"/>
      <c r="E42" s="320"/>
      <c r="F42" s="320"/>
    </row>
    <row r="43" spans="1:6" ht="33" customHeight="1" x14ac:dyDescent="0.25">
      <c r="A43" s="320"/>
      <c r="B43" s="320"/>
      <c r="C43" s="320"/>
      <c r="D43" s="320"/>
      <c r="E43" s="320"/>
      <c r="F43" s="320"/>
    </row>
    <row r="44" spans="1:6" ht="16.5" customHeight="1" x14ac:dyDescent="0.25">
      <c r="A44" s="320"/>
      <c r="B44" s="320"/>
      <c r="C44" s="320"/>
      <c r="D44" s="320"/>
      <c r="E44" s="320"/>
      <c r="F44" s="320"/>
    </row>
    <row r="45" spans="1:6" x14ac:dyDescent="0.25">
      <c r="A45" s="320"/>
      <c r="B45" s="320"/>
      <c r="C45" s="320"/>
      <c r="D45" s="320"/>
      <c r="E45" s="320"/>
      <c r="F45" s="320"/>
    </row>
    <row r="46" spans="1:6" x14ac:dyDescent="0.25">
      <c r="A46" s="320"/>
      <c r="B46" s="320"/>
      <c r="C46" s="320"/>
      <c r="D46" s="320"/>
      <c r="E46" s="320"/>
      <c r="F46" s="320"/>
    </row>
    <row r="47" spans="1:6" x14ac:dyDescent="0.25">
      <c r="A47" s="320"/>
      <c r="B47" s="320"/>
      <c r="C47" s="320"/>
      <c r="D47" s="320"/>
      <c r="E47" s="320"/>
      <c r="F47" s="320"/>
    </row>
    <row r="48" spans="1:6" x14ac:dyDescent="0.25">
      <c r="A48" s="320"/>
      <c r="B48" s="320"/>
      <c r="C48" s="320"/>
      <c r="D48" s="320"/>
      <c r="E48" s="320"/>
      <c r="F48" s="320"/>
    </row>
    <row r="49" spans="1:6" x14ac:dyDescent="0.25">
      <c r="A49" s="320"/>
      <c r="B49" s="320"/>
      <c r="C49" s="320"/>
      <c r="D49" s="320"/>
      <c r="E49" s="320"/>
      <c r="F49" s="320"/>
    </row>
    <row r="50" spans="1:6" x14ac:dyDescent="0.25">
      <c r="A50" s="320"/>
      <c r="B50" s="320"/>
      <c r="C50" s="320"/>
      <c r="D50" s="320"/>
      <c r="E50" s="320"/>
      <c r="F50" s="320"/>
    </row>
    <row r="51" spans="1:6" x14ac:dyDescent="0.25">
      <c r="A51" s="320"/>
      <c r="B51" s="320"/>
      <c r="C51" s="320"/>
      <c r="D51" s="320"/>
      <c r="E51" s="320"/>
      <c r="F51" s="320"/>
    </row>
    <row r="52" spans="1:6" x14ac:dyDescent="0.25">
      <c r="A52" s="320"/>
      <c r="B52" s="320"/>
      <c r="C52" s="320"/>
      <c r="D52" s="320"/>
      <c r="E52" s="320"/>
      <c r="F52" s="320"/>
    </row>
    <row r="53" spans="1:6" x14ac:dyDescent="0.25">
      <c r="A53" s="320"/>
      <c r="B53" s="320"/>
      <c r="C53" s="320"/>
      <c r="D53" s="320"/>
      <c r="E53" s="320"/>
      <c r="F53" s="320"/>
    </row>
    <row r="54" spans="1:6" x14ac:dyDescent="0.25">
      <c r="A54" s="320"/>
      <c r="B54" s="320"/>
      <c r="C54" s="320"/>
      <c r="D54" s="320"/>
      <c r="E54" s="320"/>
      <c r="F54" s="320"/>
    </row>
    <row r="55" spans="1:6" x14ac:dyDescent="0.25">
      <c r="A55" s="320"/>
      <c r="B55" s="320"/>
      <c r="C55" s="320"/>
      <c r="D55" s="320"/>
      <c r="E55" s="320"/>
      <c r="F55" s="320"/>
    </row>
    <row r="56" spans="1:6" x14ac:dyDescent="0.25">
      <c r="A56" s="320"/>
      <c r="B56" s="320"/>
      <c r="C56" s="320"/>
      <c r="D56" s="320"/>
      <c r="E56" s="320"/>
      <c r="F56" s="320"/>
    </row>
    <row r="57" spans="1:6" x14ac:dyDescent="0.25">
      <c r="A57" s="320"/>
      <c r="B57" s="320"/>
      <c r="C57" s="320"/>
      <c r="D57" s="320"/>
      <c r="E57" s="320"/>
      <c r="F57" s="320"/>
    </row>
    <row r="58" spans="1:6" x14ac:dyDescent="0.25">
      <c r="A58" s="320"/>
      <c r="B58" s="320"/>
      <c r="C58" s="320"/>
      <c r="D58" s="320"/>
      <c r="E58" s="320"/>
      <c r="F58" s="320"/>
    </row>
    <row r="59" spans="1:6" x14ac:dyDescent="0.25">
      <c r="A59" s="320"/>
      <c r="B59" s="320"/>
      <c r="C59" s="320"/>
      <c r="D59" s="320"/>
      <c r="E59" s="320"/>
      <c r="F59" s="320"/>
    </row>
    <row r="60" spans="1:6" x14ac:dyDescent="0.25">
      <c r="A60" s="320"/>
      <c r="B60" s="320"/>
      <c r="C60" s="320"/>
      <c r="D60" s="320"/>
      <c r="E60" s="320"/>
      <c r="F60" s="320"/>
    </row>
    <row r="61" spans="1:6" x14ac:dyDescent="0.25">
      <c r="A61" s="320"/>
      <c r="B61" s="320"/>
      <c r="C61" s="320"/>
      <c r="D61" s="320"/>
      <c r="E61" s="320"/>
      <c r="F61" s="320"/>
    </row>
    <row r="62" spans="1:6" x14ac:dyDescent="0.25">
      <c r="A62" s="320"/>
      <c r="B62" s="320"/>
      <c r="C62" s="320"/>
      <c r="D62" s="320"/>
      <c r="E62" s="320"/>
      <c r="F62" s="320"/>
    </row>
    <row r="63" spans="1:6" x14ac:dyDescent="0.25">
      <c r="A63" s="320"/>
      <c r="B63" s="320"/>
      <c r="C63" s="320"/>
      <c r="D63" s="320"/>
      <c r="E63" s="320"/>
      <c r="F63" s="320"/>
    </row>
    <row r="64" spans="1:6" x14ac:dyDescent="0.25">
      <c r="A64" s="320"/>
      <c r="B64" s="320"/>
      <c r="C64" s="320"/>
      <c r="D64" s="320"/>
      <c r="E64" s="320"/>
      <c r="F64" s="320"/>
    </row>
    <row r="65" spans="1:6" x14ac:dyDescent="0.25">
      <c r="A65" s="320"/>
      <c r="B65" s="320"/>
      <c r="C65" s="320"/>
      <c r="D65" s="320"/>
      <c r="E65" s="320"/>
      <c r="F65" s="320"/>
    </row>
    <row r="66" spans="1:6" x14ac:dyDescent="0.25">
      <c r="A66" s="320"/>
      <c r="B66" s="320"/>
      <c r="C66" s="320"/>
      <c r="D66" s="320"/>
      <c r="E66" s="320"/>
      <c r="F66" s="320"/>
    </row>
    <row r="67" spans="1:6" x14ac:dyDescent="0.25">
      <c r="A67" s="320"/>
      <c r="B67" s="320"/>
      <c r="C67" s="320"/>
      <c r="D67" s="320"/>
      <c r="E67" s="320"/>
      <c r="F67" s="320"/>
    </row>
    <row r="68" spans="1:6" x14ac:dyDescent="0.25">
      <c r="A68" s="320"/>
      <c r="B68" s="320"/>
      <c r="C68" s="320"/>
      <c r="D68" s="320"/>
      <c r="E68" s="320"/>
      <c r="F68" s="320"/>
    </row>
    <row r="69" spans="1:6" x14ac:dyDescent="0.25">
      <c r="A69" s="320"/>
      <c r="B69" s="320"/>
      <c r="C69" s="320"/>
      <c r="D69" s="320"/>
      <c r="E69" s="320"/>
      <c r="F69" s="320"/>
    </row>
    <row r="70" spans="1:6" x14ac:dyDescent="0.25">
      <c r="A70" s="320"/>
      <c r="B70" s="320"/>
      <c r="C70" s="320"/>
      <c r="D70" s="320"/>
      <c r="E70" s="320"/>
      <c r="F70" s="320"/>
    </row>
    <row r="71" spans="1:6" x14ac:dyDescent="0.25">
      <c r="A71" s="320"/>
      <c r="B71" s="320"/>
      <c r="C71" s="320"/>
      <c r="D71" s="320"/>
      <c r="E71" s="320"/>
      <c r="F71" s="320"/>
    </row>
    <row r="72" spans="1:6" x14ac:dyDescent="0.25">
      <c r="A72" s="320"/>
      <c r="B72" s="320"/>
      <c r="C72" s="320"/>
      <c r="D72" s="320"/>
      <c r="E72" s="320"/>
      <c r="F72" s="320"/>
    </row>
    <row r="73" spans="1:6" x14ac:dyDescent="0.25">
      <c r="A73" s="320"/>
      <c r="B73" s="320"/>
      <c r="C73" s="320"/>
      <c r="D73" s="320"/>
      <c r="E73" s="320"/>
      <c r="F73" s="320"/>
    </row>
    <row r="74" spans="1:6" x14ac:dyDescent="0.25">
      <c r="A74" s="320"/>
      <c r="B74" s="320"/>
      <c r="C74" s="320"/>
      <c r="D74" s="320"/>
      <c r="E74" s="320"/>
      <c r="F74" s="320"/>
    </row>
    <row r="75" spans="1:6" x14ac:dyDescent="0.25">
      <c r="A75" s="320"/>
      <c r="B75" s="320"/>
      <c r="C75" s="320"/>
      <c r="D75" s="320"/>
      <c r="E75" s="320"/>
      <c r="F75" s="320"/>
    </row>
    <row r="76" spans="1:6" x14ac:dyDescent="0.25">
      <c r="A76" s="320"/>
      <c r="B76" s="320"/>
      <c r="C76" s="320"/>
      <c r="D76" s="320"/>
      <c r="E76" s="320"/>
      <c r="F76" s="320"/>
    </row>
    <row r="77" spans="1:6" x14ac:dyDescent="0.25">
      <c r="A77" s="320"/>
      <c r="B77" s="320"/>
      <c r="C77" s="320"/>
      <c r="D77" s="320"/>
      <c r="E77" s="320"/>
      <c r="F77" s="320"/>
    </row>
    <row r="78" spans="1:6" x14ac:dyDescent="0.25">
      <c r="A78" s="320"/>
      <c r="B78" s="320"/>
      <c r="C78" s="320"/>
      <c r="D78" s="320"/>
      <c r="E78" s="320"/>
      <c r="F78" s="320"/>
    </row>
    <row r="79" spans="1:6" x14ac:dyDescent="0.25">
      <c r="A79" s="320"/>
      <c r="B79" s="320"/>
      <c r="C79" s="320"/>
      <c r="D79" s="320"/>
      <c r="E79" s="320"/>
      <c r="F79" s="320"/>
    </row>
    <row r="80" spans="1:6" x14ac:dyDescent="0.25">
      <c r="A80" s="320"/>
      <c r="B80" s="320"/>
      <c r="C80" s="320"/>
      <c r="D80" s="320"/>
      <c r="E80" s="320"/>
      <c r="F80" s="320"/>
    </row>
    <row r="81" spans="1:6" x14ac:dyDescent="0.25">
      <c r="A81" s="320"/>
      <c r="B81" s="320"/>
      <c r="C81" s="320"/>
      <c r="D81" s="320"/>
      <c r="E81" s="320"/>
      <c r="F81" s="320"/>
    </row>
    <row r="82" spans="1:6" x14ac:dyDescent="0.25">
      <c r="A82" s="320"/>
      <c r="B82" s="320"/>
      <c r="C82" s="320"/>
      <c r="D82" s="320"/>
      <c r="E82" s="320"/>
      <c r="F82" s="320"/>
    </row>
    <row r="83" spans="1:6" x14ac:dyDescent="0.25">
      <c r="A83" s="320"/>
      <c r="B83" s="320"/>
      <c r="C83" s="320"/>
      <c r="D83" s="320"/>
      <c r="E83" s="320"/>
      <c r="F83" s="320"/>
    </row>
    <row r="84" spans="1:6" x14ac:dyDescent="0.25">
      <c r="A84" s="320"/>
      <c r="B84" s="320"/>
      <c r="C84" s="320"/>
      <c r="D84" s="320"/>
      <c r="E84" s="320"/>
      <c r="F84" s="320"/>
    </row>
    <row r="85" spans="1:6" x14ac:dyDescent="0.25">
      <c r="A85" s="320"/>
      <c r="B85" s="320"/>
      <c r="C85" s="320"/>
      <c r="D85" s="320"/>
      <c r="E85" s="320"/>
      <c r="F85" s="320"/>
    </row>
    <row r="86" spans="1:6" x14ac:dyDescent="0.25">
      <c r="A86" s="320"/>
      <c r="B86" s="320"/>
      <c r="C86" s="320"/>
      <c r="D86" s="320"/>
      <c r="E86" s="320"/>
      <c r="F86" s="320"/>
    </row>
    <row r="87" spans="1:6" x14ac:dyDescent="0.25">
      <c r="A87" s="320"/>
      <c r="B87" s="320"/>
      <c r="C87" s="320"/>
      <c r="D87" s="320"/>
      <c r="E87" s="320"/>
      <c r="F87" s="320"/>
    </row>
    <row r="88" spans="1:6" x14ac:dyDescent="0.25">
      <c r="A88" s="320"/>
      <c r="B88" s="320"/>
      <c r="C88" s="320"/>
      <c r="D88" s="320"/>
      <c r="E88" s="320"/>
      <c r="F88" s="320"/>
    </row>
    <row r="89" spans="1:6" x14ac:dyDescent="0.25">
      <c r="A89" s="320"/>
      <c r="B89" s="320"/>
      <c r="C89" s="320"/>
      <c r="D89" s="320"/>
      <c r="E89" s="320"/>
      <c r="F89" s="320"/>
    </row>
    <row r="90" spans="1:6" x14ac:dyDescent="0.25">
      <c r="A90" s="320"/>
      <c r="B90" s="320"/>
      <c r="C90" s="320"/>
      <c r="D90" s="320"/>
      <c r="E90" s="320"/>
      <c r="F90" s="320"/>
    </row>
    <row r="91" spans="1:6" x14ac:dyDescent="0.25">
      <c r="A91" s="320"/>
      <c r="B91" s="320"/>
      <c r="C91" s="320"/>
      <c r="D91" s="320"/>
      <c r="E91" s="320"/>
      <c r="F91" s="320"/>
    </row>
    <row r="92" spans="1:6" x14ac:dyDescent="0.25">
      <c r="A92" s="320"/>
      <c r="B92" s="320"/>
      <c r="C92" s="320"/>
      <c r="D92" s="320"/>
      <c r="E92" s="320"/>
      <c r="F92" s="320"/>
    </row>
    <row r="93" spans="1:6" x14ac:dyDescent="0.25">
      <c r="A93" s="320"/>
      <c r="B93" s="320"/>
      <c r="C93" s="320"/>
      <c r="D93" s="320"/>
      <c r="E93" s="320"/>
      <c r="F93" s="320"/>
    </row>
    <row r="94" spans="1:6" x14ac:dyDescent="0.25">
      <c r="A94" s="320"/>
      <c r="B94" s="320"/>
      <c r="C94" s="320"/>
      <c r="D94" s="320"/>
      <c r="E94" s="320"/>
      <c r="F94" s="320"/>
    </row>
    <row r="95" spans="1:6" x14ac:dyDescent="0.25">
      <c r="A95" s="320"/>
      <c r="B95" s="320"/>
      <c r="C95" s="320"/>
      <c r="D95" s="320"/>
      <c r="E95" s="320"/>
      <c r="F95" s="320"/>
    </row>
    <row r="96" spans="1:6" x14ac:dyDescent="0.25">
      <c r="A96" s="320"/>
      <c r="B96" s="320"/>
      <c r="C96" s="320"/>
      <c r="D96" s="320"/>
      <c r="E96" s="320"/>
      <c r="F96" s="320"/>
    </row>
    <row r="97" spans="1:6" x14ac:dyDescent="0.25">
      <c r="A97" s="320"/>
      <c r="B97" s="320"/>
      <c r="C97" s="320"/>
      <c r="D97" s="320"/>
      <c r="E97" s="320"/>
      <c r="F97" s="320"/>
    </row>
    <row r="98" spans="1:6" x14ac:dyDescent="0.25">
      <c r="A98" s="320"/>
      <c r="B98" s="320"/>
      <c r="C98" s="320"/>
      <c r="D98" s="320"/>
      <c r="E98" s="320"/>
      <c r="F98" s="320"/>
    </row>
    <row r="99" spans="1:6" x14ac:dyDescent="0.25">
      <c r="A99" s="320"/>
      <c r="B99" s="320"/>
      <c r="C99" s="320"/>
      <c r="D99" s="320"/>
      <c r="E99" s="320"/>
      <c r="F99" s="320"/>
    </row>
    <row r="100" spans="1:6" x14ac:dyDescent="0.25">
      <c r="A100" s="320"/>
      <c r="B100" s="320"/>
      <c r="C100" s="320"/>
      <c r="D100" s="320"/>
      <c r="E100" s="320"/>
      <c r="F100" s="320"/>
    </row>
    <row r="101" spans="1:6" x14ac:dyDescent="0.25">
      <c r="A101" s="320"/>
      <c r="B101" s="320"/>
      <c r="C101" s="320"/>
      <c r="D101" s="320"/>
      <c r="E101" s="320"/>
      <c r="F101" s="320"/>
    </row>
    <row r="102" spans="1:6" x14ac:dyDescent="0.25">
      <c r="A102" s="320"/>
      <c r="B102" s="320"/>
      <c r="C102" s="320"/>
      <c r="D102" s="320"/>
      <c r="E102" s="320"/>
      <c r="F102" s="320"/>
    </row>
    <row r="103" spans="1:6" x14ac:dyDescent="0.25">
      <c r="A103" s="320"/>
      <c r="B103" s="320"/>
      <c r="C103" s="320"/>
      <c r="D103" s="320"/>
      <c r="E103" s="320"/>
      <c r="F103" s="320"/>
    </row>
    <row r="104" spans="1:6" x14ac:dyDescent="0.25">
      <c r="A104" s="320"/>
      <c r="B104" s="320"/>
      <c r="C104" s="320"/>
      <c r="D104" s="320"/>
      <c r="E104" s="320"/>
      <c r="F104" s="320"/>
    </row>
    <row r="105" spans="1:6" x14ac:dyDescent="0.25">
      <c r="A105" s="320"/>
      <c r="B105" s="320"/>
      <c r="C105" s="320"/>
      <c r="D105" s="320"/>
      <c r="E105" s="320"/>
      <c r="F105" s="320"/>
    </row>
    <row r="106" spans="1:6" x14ac:dyDescent="0.25">
      <c r="A106" s="320"/>
      <c r="B106" s="320"/>
      <c r="C106" s="320"/>
      <c r="D106" s="320"/>
      <c r="E106" s="320"/>
      <c r="F106" s="320"/>
    </row>
    <row r="107" spans="1:6" x14ac:dyDescent="0.25">
      <c r="A107" s="320"/>
      <c r="B107" s="320"/>
      <c r="C107" s="320"/>
      <c r="D107" s="320"/>
      <c r="E107" s="320"/>
      <c r="F107" s="320"/>
    </row>
    <row r="108" spans="1:6" x14ac:dyDescent="0.25">
      <c r="A108" s="320"/>
      <c r="B108" s="320"/>
      <c r="C108" s="320"/>
      <c r="D108" s="320"/>
      <c r="E108" s="320"/>
      <c r="F108" s="320"/>
    </row>
    <row r="109" spans="1:6" x14ac:dyDescent="0.25">
      <c r="A109" s="320"/>
      <c r="B109" s="320"/>
      <c r="C109" s="320"/>
      <c r="D109" s="320"/>
      <c r="E109" s="320"/>
      <c r="F109" s="320"/>
    </row>
    <row r="110" spans="1:6" x14ac:dyDescent="0.25">
      <c r="A110" s="320"/>
      <c r="B110" s="320"/>
      <c r="C110" s="320"/>
      <c r="D110" s="320"/>
      <c r="E110" s="320"/>
      <c r="F110" s="320"/>
    </row>
    <row r="111" spans="1:6" x14ac:dyDescent="0.25">
      <c r="A111" s="320"/>
      <c r="B111" s="320"/>
      <c r="C111" s="320"/>
      <c r="D111" s="320"/>
      <c r="E111" s="320"/>
      <c r="F111" s="320"/>
    </row>
    <row r="112" spans="1:6" x14ac:dyDescent="0.25">
      <c r="A112" s="320"/>
      <c r="B112" s="320"/>
      <c r="C112" s="320"/>
      <c r="D112" s="320"/>
      <c r="E112" s="320"/>
      <c r="F112" s="320"/>
    </row>
    <row r="113" spans="1:6" x14ac:dyDescent="0.25">
      <c r="A113" s="320"/>
      <c r="B113" s="320"/>
      <c r="C113" s="320"/>
      <c r="D113" s="320"/>
      <c r="E113" s="320"/>
      <c r="F113" s="320"/>
    </row>
    <row r="114" spans="1:6" x14ac:dyDescent="0.25">
      <c r="A114" s="320"/>
      <c r="B114" s="320"/>
      <c r="C114" s="320"/>
      <c r="D114" s="320"/>
      <c r="E114" s="320"/>
      <c r="F114" s="320"/>
    </row>
    <row r="115" spans="1:6" x14ac:dyDescent="0.25">
      <c r="A115" s="320"/>
      <c r="B115" s="320"/>
      <c r="C115" s="320"/>
      <c r="D115" s="320"/>
      <c r="E115" s="320"/>
      <c r="F115" s="320"/>
    </row>
    <row r="116" spans="1:6" x14ac:dyDescent="0.25">
      <c r="A116" s="320"/>
      <c r="B116" s="320"/>
      <c r="C116" s="320"/>
      <c r="D116" s="320"/>
      <c r="E116" s="320"/>
      <c r="F116" s="320"/>
    </row>
    <row r="117" spans="1:6" x14ac:dyDescent="0.25">
      <c r="A117" s="320"/>
      <c r="B117" s="320"/>
      <c r="C117" s="320"/>
      <c r="D117" s="320"/>
      <c r="E117" s="320"/>
      <c r="F117" s="320"/>
    </row>
    <row r="118" spans="1:6" x14ac:dyDescent="0.25">
      <c r="A118" s="320"/>
      <c r="B118" s="320"/>
      <c r="C118" s="320"/>
      <c r="D118" s="320"/>
      <c r="E118" s="320"/>
      <c r="F118" s="320"/>
    </row>
    <row r="119" spans="1:6" x14ac:dyDescent="0.25">
      <c r="A119" s="320"/>
      <c r="B119" s="320"/>
      <c r="C119" s="320"/>
      <c r="D119" s="320"/>
      <c r="E119" s="320"/>
      <c r="F119" s="320"/>
    </row>
    <row r="120" spans="1:6" x14ac:dyDescent="0.25">
      <c r="A120" s="320"/>
      <c r="B120" s="320"/>
      <c r="C120" s="320"/>
      <c r="D120" s="320"/>
      <c r="E120" s="320"/>
      <c r="F120" s="320"/>
    </row>
    <row r="121" spans="1:6" x14ac:dyDescent="0.25">
      <c r="A121" s="320"/>
      <c r="B121" s="320"/>
      <c r="C121" s="320"/>
      <c r="D121" s="320"/>
      <c r="E121" s="320"/>
      <c r="F121" s="320"/>
    </row>
    <row r="122" spans="1:6" x14ac:dyDescent="0.25">
      <c r="A122" s="320"/>
      <c r="B122" s="320"/>
      <c r="C122" s="320"/>
      <c r="D122" s="320"/>
      <c r="E122" s="320"/>
      <c r="F122" s="320"/>
    </row>
    <row r="123" spans="1:6" x14ac:dyDescent="0.25">
      <c r="A123" s="320"/>
      <c r="B123" s="320"/>
      <c r="C123" s="320"/>
      <c r="D123" s="320"/>
      <c r="E123" s="320"/>
      <c r="F123" s="320"/>
    </row>
    <row r="124" spans="1:6" x14ac:dyDescent="0.25">
      <c r="A124" s="320"/>
      <c r="B124" s="320"/>
      <c r="C124" s="320"/>
      <c r="D124" s="320"/>
      <c r="E124" s="320"/>
      <c r="F124" s="320"/>
    </row>
    <row r="125" spans="1:6" x14ac:dyDescent="0.25">
      <c r="A125" s="320"/>
      <c r="B125" s="320"/>
      <c r="C125" s="320"/>
      <c r="D125" s="320"/>
      <c r="E125" s="320"/>
      <c r="F125" s="320"/>
    </row>
    <row r="126" spans="1:6" x14ac:dyDescent="0.25">
      <c r="A126" s="320"/>
      <c r="B126" s="320"/>
      <c r="C126" s="320"/>
      <c r="D126" s="320"/>
      <c r="E126" s="320"/>
      <c r="F126" s="320"/>
    </row>
    <row r="127" spans="1:6" x14ac:dyDescent="0.25">
      <c r="A127" s="320"/>
      <c r="B127" s="320"/>
      <c r="C127" s="320"/>
      <c r="D127" s="320"/>
      <c r="E127" s="320"/>
      <c r="F127" s="320"/>
    </row>
    <row r="128" spans="1:6" x14ac:dyDescent="0.25">
      <c r="A128" s="320"/>
      <c r="B128" s="320"/>
      <c r="C128" s="320"/>
      <c r="D128" s="320"/>
      <c r="E128" s="320"/>
      <c r="F128" s="320"/>
    </row>
    <row r="129" spans="1:6" x14ac:dyDescent="0.25">
      <c r="A129" s="320"/>
      <c r="B129" s="320"/>
      <c r="C129" s="320"/>
      <c r="D129" s="320"/>
      <c r="E129" s="320"/>
      <c r="F129" s="320"/>
    </row>
    <row r="130" spans="1:6" x14ac:dyDescent="0.25">
      <c r="A130" s="320"/>
      <c r="B130" s="320"/>
      <c r="C130" s="320"/>
      <c r="D130" s="320"/>
      <c r="E130" s="320"/>
      <c r="F130" s="320"/>
    </row>
    <row r="131" spans="1:6" x14ac:dyDescent="0.25">
      <c r="A131" s="320"/>
      <c r="B131" s="320"/>
      <c r="C131" s="320"/>
      <c r="D131" s="320"/>
      <c r="E131" s="320"/>
      <c r="F131" s="320"/>
    </row>
    <row r="132" spans="1:6" x14ac:dyDescent="0.25">
      <c r="A132" s="320"/>
      <c r="B132" s="320"/>
      <c r="C132" s="320"/>
      <c r="D132" s="320"/>
      <c r="E132" s="320"/>
      <c r="F132" s="320"/>
    </row>
    <row r="133" spans="1:6" x14ac:dyDescent="0.25">
      <c r="A133" s="320"/>
      <c r="B133" s="320"/>
      <c r="C133" s="320"/>
      <c r="D133" s="320"/>
      <c r="E133" s="320"/>
      <c r="F133" s="320"/>
    </row>
    <row r="134" spans="1:6" x14ac:dyDescent="0.25">
      <c r="A134" s="320"/>
      <c r="B134" s="320"/>
      <c r="C134" s="320"/>
      <c r="D134" s="320"/>
      <c r="E134" s="320"/>
      <c r="F134" s="320"/>
    </row>
    <row r="135" spans="1:6" x14ac:dyDescent="0.25">
      <c r="A135" s="320"/>
      <c r="B135" s="320"/>
      <c r="C135" s="320"/>
      <c r="D135" s="320"/>
      <c r="E135" s="320"/>
      <c r="F135" s="320"/>
    </row>
    <row r="136" spans="1:6" x14ac:dyDescent="0.25">
      <c r="A136" s="320"/>
      <c r="B136" s="320"/>
      <c r="C136" s="320"/>
      <c r="D136" s="320"/>
      <c r="E136" s="320"/>
      <c r="F136" s="320"/>
    </row>
    <row r="137" spans="1:6" x14ac:dyDescent="0.25">
      <c r="A137" s="320"/>
      <c r="B137" s="320"/>
      <c r="C137" s="320"/>
      <c r="D137" s="320"/>
      <c r="E137" s="320"/>
      <c r="F137" s="320"/>
    </row>
    <row r="138" spans="1:6" x14ac:dyDescent="0.25">
      <c r="A138" s="320"/>
      <c r="B138" s="320"/>
      <c r="C138" s="320"/>
      <c r="D138" s="320"/>
      <c r="E138" s="320"/>
      <c r="F138" s="320"/>
    </row>
    <row r="139" spans="1:6" x14ac:dyDescent="0.25">
      <c r="A139" s="320"/>
      <c r="B139" s="320"/>
      <c r="C139" s="320"/>
      <c r="D139" s="320"/>
      <c r="E139" s="320"/>
      <c r="F139" s="320"/>
    </row>
    <row r="140" spans="1:6" x14ac:dyDescent="0.25">
      <c r="A140" s="320"/>
      <c r="B140" s="320"/>
      <c r="C140" s="320"/>
      <c r="D140" s="320"/>
      <c r="E140" s="320"/>
      <c r="F140" s="320"/>
    </row>
    <row r="141" spans="1:6" x14ac:dyDescent="0.25">
      <c r="A141" s="320"/>
      <c r="B141" s="320"/>
      <c r="C141" s="320"/>
      <c r="D141" s="320"/>
      <c r="E141" s="320"/>
      <c r="F141" s="320"/>
    </row>
    <row r="142" spans="1:6" x14ac:dyDescent="0.25">
      <c r="A142" s="320"/>
      <c r="B142" s="320"/>
      <c r="C142" s="320"/>
      <c r="D142" s="320"/>
      <c r="E142" s="320"/>
      <c r="F142" s="320"/>
    </row>
    <row r="143" spans="1:6" x14ac:dyDescent="0.25">
      <c r="A143" s="320"/>
      <c r="B143" s="320"/>
      <c r="C143" s="320"/>
      <c r="D143" s="320"/>
      <c r="E143" s="320"/>
      <c r="F143" s="320"/>
    </row>
    <row r="144" spans="1:6" x14ac:dyDescent="0.25">
      <c r="A144" s="320"/>
      <c r="B144" s="320"/>
      <c r="C144" s="320"/>
      <c r="D144" s="320"/>
      <c r="E144" s="320"/>
      <c r="F144" s="320"/>
    </row>
    <row r="145" spans="1:6" x14ac:dyDescent="0.25">
      <c r="A145" s="320"/>
      <c r="B145" s="320"/>
      <c r="C145" s="320"/>
      <c r="D145" s="320"/>
      <c r="E145" s="320"/>
      <c r="F145" s="320"/>
    </row>
    <row r="146" spans="1:6" x14ac:dyDescent="0.25">
      <c r="A146" s="320"/>
      <c r="B146" s="320"/>
      <c r="C146" s="320"/>
      <c r="D146" s="320"/>
      <c r="E146" s="320"/>
      <c r="F146" s="320"/>
    </row>
    <row r="147" spans="1:6" x14ac:dyDescent="0.25">
      <c r="A147" s="320"/>
      <c r="B147" s="320"/>
      <c r="C147" s="320"/>
      <c r="D147" s="320"/>
      <c r="E147" s="320"/>
      <c r="F147" s="320"/>
    </row>
    <row r="148" spans="1:6" x14ac:dyDescent="0.25">
      <c r="A148" s="320"/>
      <c r="B148" s="320"/>
      <c r="C148" s="320"/>
      <c r="D148" s="320"/>
      <c r="E148" s="320"/>
      <c r="F148" s="320"/>
    </row>
    <row r="149" spans="1:6" x14ac:dyDescent="0.25">
      <c r="A149" s="320"/>
      <c r="B149" s="320"/>
      <c r="C149" s="320"/>
      <c r="D149" s="320"/>
      <c r="E149" s="320"/>
      <c r="F149" s="320"/>
    </row>
    <row r="150" spans="1:6" x14ac:dyDescent="0.25">
      <c r="A150" s="320"/>
      <c r="B150" s="320"/>
      <c r="C150" s="320"/>
      <c r="D150" s="320"/>
      <c r="E150" s="320"/>
      <c r="F150" s="320"/>
    </row>
    <row r="151" spans="1:6" x14ac:dyDescent="0.25">
      <c r="A151" s="320"/>
      <c r="B151" s="320"/>
      <c r="C151" s="320"/>
      <c r="D151" s="320"/>
      <c r="E151" s="320"/>
      <c r="F151" s="320"/>
    </row>
    <row r="152" spans="1:6" x14ac:dyDescent="0.25">
      <c r="A152" s="320"/>
      <c r="B152" s="320"/>
      <c r="C152" s="320"/>
      <c r="D152" s="320"/>
      <c r="E152" s="320"/>
      <c r="F152" s="320"/>
    </row>
    <row r="153" spans="1:6" x14ac:dyDescent="0.25">
      <c r="A153" s="320"/>
      <c r="B153" s="320"/>
      <c r="C153" s="320"/>
      <c r="D153" s="320"/>
      <c r="E153" s="320"/>
      <c r="F153" s="320"/>
    </row>
    <row r="154" spans="1:6" x14ac:dyDescent="0.25">
      <c r="A154" s="320"/>
      <c r="B154" s="320"/>
      <c r="C154" s="320"/>
      <c r="D154" s="320"/>
      <c r="E154" s="320"/>
      <c r="F154" s="320"/>
    </row>
    <row r="155" spans="1:6" x14ac:dyDescent="0.25">
      <c r="A155" s="320"/>
      <c r="B155" s="320"/>
      <c r="C155" s="320"/>
      <c r="D155" s="320"/>
      <c r="E155" s="320"/>
      <c r="F155" s="320"/>
    </row>
    <row r="156" spans="1:6" x14ac:dyDescent="0.25">
      <c r="A156" s="320"/>
      <c r="B156" s="320"/>
      <c r="C156" s="320"/>
      <c r="D156" s="320"/>
      <c r="E156" s="320"/>
      <c r="F156" s="320"/>
    </row>
    <row r="157" spans="1:6" x14ac:dyDescent="0.25">
      <c r="A157" s="320"/>
      <c r="B157" s="320"/>
      <c r="C157" s="320"/>
      <c r="D157" s="320"/>
      <c r="E157" s="320"/>
      <c r="F157" s="320"/>
    </row>
    <row r="158" spans="1:6" x14ac:dyDescent="0.25">
      <c r="A158" s="320"/>
      <c r="B158" s="320"/>
      <c r="C158" s="320"/>
      <c r="D158" s="320"/>
      <c r="E158" s="320"/>
      <c r="F158" s="320"/>
    </row>
    <row r="159" spans="1:6" x14ac:dyDescent="0.25">
      <c r="A159" s="320"/>
      <c r="B159" s="320"/>
      <c r="C159" s="320"/>
      <c r="D159" s="320"/>
      <c r="E159" s="320"/>
      <c r="F159" s="320"/>
    </row>
    <row r="160" spans="1:6" x14ac:dyDescent="0.25">
      <c r="A160" s="320"/>
      <c r="B160" s="320"/>
      <c r="C160" s="320"/>
      <c r="D160" s="320"/>
      <c r="E160" s="320"/>
      <c r="F160" s="320"/>
    </row>
    <row r="161" spans="1:6" x14ac:dyDescent="0.25">
      <c r="A161" s="320"/>
      <c r="B161" s="320"/>
      <c r="C161" s="320"/>
      <c r="D161" s="320"/>
      <c r="E161" s="320"/>
      <c r="F161" s="320"/>
    </row>
    <row r="162" spans="1:6" x14ac:dyDescent="0.25">
      <c r="A162" s="320"/>
      <c r="B162" s="320"/>
      <c r="C162" s="320"/>
      <c r="D162" s="320"/>
      <c r="E162" s="320"/>
      <c r="F162" s="320"/>
    </row>
    <row r="163" spans="1:6" x14ac:dyDescent="0.25">
      <c r="A163" s="320"/>
      <c r="B163" s="320"/>
      <c r="C163" s="320"/>
      <c r="D163" s="320"/>
      <c r="E163" s="320"/>
      <c r="F163" s="320"/>
    </row>
    <row r="164" spans="1:6" x14ac:dyDescent="0.25">
      <c r="A164" s="320"/>
      <c r="B164" s="320"/>
      <c r="C164" s="320"/>
      <c r="D164" s="320"/>
      <c r="E164" s="320"/>
      <c r="F164" s="320"/>
    </row>
    <row r="165" spans="1:6" x14ac:dyDescent="0.25">
      <c r="A165" s="320"/>
      <c r="B165" s="320"/>
      <c r="C165" s="320"/>
      <c r="D165" s="320"/>
      <c r="E165" s="320"/>
      <c r="F165" s="320"/>
    </row>
    <row r="166" spans="1:6" x14ac:dyDescent="0.25">
      <c r="A166" s="320"/>
      <c r="B166" s="320"/>
      <c r="C166" s="320"/>
      <c r="D166" s="320"/>
      <c r="E166" s="320"/>
      <c r="F166" s="320"/>
    </row>
    <row r="167" spans="1:6" x14ac:dyDescent="0.25">
      <c r="A167" s="320"/>
      <c r="B167" s="320"/>
      <c r="C167" s="320"/>
      <c r="D167" s="320"/>
      <c r="E167" s="320"/>
      <c r="F167" s="320"/>
    </row>
    <row r="168" spans="1:6" x14ac:dyDescent="0.25">
      <c r="A168" s="320"/>
      <c r="B168" s="320"/>
      <c r="C168" s="320"/>
      <c r="D168" s="320"/>
      <c r="E168" s="320"/>
      <c r="F168" s="320"/>
    </row>
    <row r="169" spans="1:6" x14ac:dyDescent="0.25">
      <c r="A169" s="320"/>
      <c r="B169" s="320"/>
      <c r="C169" s="320"/>
      <c r="D169" s="320"/>
      <c r="E169" s="320"/>
      <c r="F169" s="320"/>
    </row>
    <row r="170" spans="1:6" x14ac:dyDescent="0.25">
      <c r="A170" s="320"/>
      <c r="B170" s="320"/>
      <c r="C170" s="320"/>
      <c r="D170" s="320"/>
      <c r="E170" s="320"/>
      <c r="F170" s="320"/>
    </row>
    <row r="171" spans="1:6" x14ac:dyDescent="0.25">
      <c r="A171" s="320"/>
      <c r="B171" s="320"/>
      <c r="C171" s="320"/>
      <c r="D171" s="320"/>
      <c r="E171" s="320"/>
      <c r="F171" s="320"/>
    </row>
    <row r="172" spans="1:6" x14ac:dyDescent="0.25">
      <c r="A172" s="320"/>
      <c r="B172" s="320"/>
      <c r="C172" s="320"/>
      <c r="D172" s="320"/>
      <c r="E172" s="320"/>
      <c r="F172" s="320"/>
    </row>
    <row r="173" spans="1:6" x14ac:dyDescent="0.25">
      <c r="A173" s="320"/>
      <c r="B173" s="320"/>
      <c r="C173" s="320"/>
      <c r="D173" s="320"/>
      <c r="E173" s="320"/>
      <c r="F173" s="320"/>
    </row>
    <row r="174" spans="1:6" x14ac:dyDescent="0.25">
      <c r="A174" s="320"/>
      <c r="B174" s="320"/>
      <c r="C174" s="320"/>
      <c r="D174" s="320"/>
      <c r="E174" s="320"/>
      <c r="F174" s="320"/>
    </row>
    <row r="175" spans="1:6" x14ac:dyDescent="0.25">
      <c r="A175" s="320"/>
      <c r="B175" s="320"/>
      <c r="C175" s="320"/>
      <c r="D175" s="320"/>
      <c r="E175" s="320"/>
      <c r="F175" s="320"/>
    </row>
    <row r="176" spans="1:6" x14ac:dyDescent="0.25">
      <c r="A176" s="320"/>
      <c r="B176" s="320"/>
      <c r="C176" s="320"/>
      <c r="D176" s="320"/>
      <c r="E176" s="320"/>
      <c r="F176" s="320"/>
    </row>
    <row r="177" spans="1:6" x14ac:dyDescent="0.25">
      <c r="A177" s="320"/>
      <c r="B177" s="320"/>
      <c r="C177" s="320"/>
      <c r="D177" s="320"/>
      <c r="E177" s="320"/>
      <c r="F177" s="320"/>
    </row>
    <row r="178" spans="1:6" x14ac:dyDescent="0.25">
      <c r="A178" s="320"/>
      <c r="B178" s="320"/>
      <c r="C178" s="320"/>
      <c r="D178" s="320"/>
      <c r="E178" s="320"/>
      <c r="F178" s="320"/>
    </row>
    <row r="179" spans="1:6" x14ac:dyDescent="0.25">
      <c r="A179" s="320"/>
      <c r="B179" s="320"/>
      <c r="C179" s="320"/>
      <c r="D179" s="320"/>
      <c r="E179" s="320"/>
      <c r="F179" s="320"/>
    </row>
    <row r="180" spans="1:6" x14ac:dyDescent="0.25">
      <c r="A180" s="320"/>
      <c r="B180" s="320"/>
      <c r="C180" s="320"/>
      <c r="D180" s="320"/>
      <c r="E180" s="320"/>
      <c r="F180" s="320"/>
    </row>
    <row r="181" spans="1:6" x14ac:dyDescent="0.25">
      <c r="A181" s="320"/>
      <c r="B181" s="320"/>
      <c r="C181" s="320"/>
      <c r="D181" s="320"/>
      <c r="E181" s="320"/>
      <c r="F181" s="320"/>
    </row>
    <row r="182" spans="1:6" x14ac:dyDescent="0.25">
      <c r="A182" s="320"/>
      <c r="B182" s="320"/>
      <c r="C182" s="320"/>
      <c r="D182" s="320"/>
      <c r="E182" s="320"/>
      <c r="F182" s="320"/>
    </row>
    <row r="183" spans="1:6" x14ac:dyDescent="0.25">
      <c r="A183" s="320"/>
      <c r="B183" s="320"/>
      <c r="C183" s="320"/>
      <c r="D183" s="320"/>
      <c r="E183" s="320"/>
      <c r="F183" s="320"/>
    </row>
    <row r="184" spans="1:6" x14ac:dyDescent="0.25">
      <c r="A184" s="320"/>
      <c r="B184" s="320"/>
      <c r="C184" s="320"/>
      <c r="D184" s="320"/>
      <c r="E184" s="320"/>
      <c r="F184" s="320"/>
    </row>
    <row r="185" spans="1:6" x14ac:dyDescent="0.25">
      <c r="A185" s="320"/>
      <c r="B185" s="320"/>
      <c r="C185" s="320"/>
      <c r="D185" s="320"/>
      <c r="E185" s="320"/>
      <c r="F185" s="320"/>
    </row>
    <row r="186" spans="1:6" x14ac:dyDescent="0.25">
      <c r="A186" s="320"/>
      <c r="B186" s="320"/>
      <c r="C186" s="320"/>
      <c r="D186" s="320"/>
      <c r="E186" s="320"/>
      <c r="F186" s="320"/>
    </row>
    <row r="187" spans="1:6" x14ac:dyDescent="0.25">
      <c r="A187" s="320"/>
      <c r="B187" s="320"/>
      <c r="C187" s="320"/>
      <c r="D187" s="320"/>
      <c r="E187" s="320"/>
      <c r="F187" s="320"/>
    </row>
    <row r="188" spans="1:6" x14ac:dyDescent="0.25">
      <c r="A188" s="320"/>
      <c r="B188" s="320"/>
      <c r="C188" s="320"/>
      <c r="D188" s="320"/>
      <c r="E188" s="320"/>
      <c r="F188" s="320"/>
    </row>
    <row r="189" spans="1:6" x14ac:dyDescent="0.25">
      <c r="A189" s="320"/>
      <c r="B189" s="320"/>
      <c r="C189" s="320"/>
      <c r="D189" s="320"/>
      <c r="E189" s="320"/>
      <c r="F189" s="320"/>
    </row>
    <row r="190" spans="1:6" x14ac:dyDescent="0.25">
      <c r="A190" s="320"/>
      <c r="B190" s="320"/>
      <c r="C190" s="320"/>
      <c r="D190" s="320"/>
      <c r="E190" s="320"/>
      <c r="F190" s="320"/>
    </row>
    <row r="191" spans="1:6" x14ac:dyDescent="0.25">
      <c r="A191" s="320"/>
      <c r="B191" s="320"/>
      <c r="C191" s="320"/>
      <c r="D191" s="320"/>
      <c r="E191" s="320"/>
      <c r="F191" s="320"/>
    </row>
    <row r="192" spans="1:6" x14ac:dyDescent="0.25">
      <c r="A192" s="320"/>
      <c r="B192" s="320"/>
      <c r="C192" s="320"/>
      <c r="D192" s="320"/>
      <c r="E192" s="320"/>
      <c r="F192" s="320"/>
    </row>
    <row r="193" spans="1:6" x14ac:dyDescent="0.25">
      <c r="A193" s="320"/>
      <c r="B193" s="320"/>
      <c r="C193" s="320"/>
      <c r="D193" s="320"/>
      <c r="E193" s="320"/>
      <c r="F193" s="320"/>
    </row>
    <row r="194" spans="1:6" x14ac:dyDescent="0.25">
      <c r="A194" s="320"/>
      <c r="B194" s="320"/>
      <c r="C194" s="320"/>
      <c r="D194" s="320"/>
      <c r="E194" s="320"/>
      <c r="F194" s="320"/>
    </row>
    <row r="195" spans="1:6" x14ac:dyDescent="0.25">
      <c r="A195" s="320"/>
      <c r="B195" s="320"/>
      <c r="C195" s="320"/>
      <c r="D195" s="320"/>
      <c r="E195" s="320"/>
      <c r="F195" s="320"/>
    </row>
    <row r="196" spans="1:6" x14ac:dyDescent="0.25">
      <c r="A196" s="320"/>
      <c r="B196" s="320"/>
      <c r="C196" s="320"/>
      <c r="D196" s="320"/>
      <c r="E196" s="320"/>
      <c r="F196" s="320"/>
    </row>
    <row r="197" spans="1:6" x14ac:dyDescent="0.25">
      <c r="A197" s="320"/>
      <c r="B197" s="320"/>
      <c r="C197" s="320"/>
      <c r="D197" s="320"/>
      <c r="E197" s="320"/>
      <c r="F197" s="320"/>
    </row>
    <row r="198" spans="1:6" x14ac:dyDescent="0.25">
      <c r="A198" s="320"/>
      <c r="B198" s="320"/>
      <c r="C198" s="320"/>
      <c r="D198" s="320"/>
      <c r="E198" s="320"/>
      <c r="F198" s="320"/>
    </row>
    <row r="199" spans="1:6" x14ac:dyDescent="0.25">
      <c r="A199" s="320"/>
      <c r="B199" s="320"/>
      <c r="C199" s="320"/>
      <c r="D199" s="320"/>
      <c r="E199" s="320"/>
      <c r="F199" s="320"/>
    </row>
    <row r="200" spans="1:6" x14ac:dyDescent="0.25">
      <c r="A200" s="320"/>
      <c r="B200" s="320"/>
      <c r="C200" s="320"/>
      <c r="D200" s="320"/>
      <c r="E200" s="320"/>
      <c r="F200" s="320"/>
    </row>
    <row r="201" spans="1:6" x14ac:dyDescent="0.25">
      <c r="A201" s="320"/>
      <c r="B201" s="320"/>
      <c r="C201" s="320"/>
      <c r="D201" s="320"/>
      <c r="E201" s="320"/>
      <c r="F201" s="320"/>
    </row>
    <row r="202" spans="1:6" x14ac:dyDescent="0.25">
      <c r="A202" s="320"/>
      <c r="B202" s="320"/>
      <c r="C202" s="320"/>
      <c r="D202" s="320"/>
      <c r="E202" s="320"/>
      <c r="F202" s="320"/>
    </row>
    <row r="203" spans="1:6" x14ac:dyDescent="0.25">
      <c r="A203" s="320"/>
      <c r="B203" s="320"/>
      <c r="C203" s="320"/>
      <c r="D203" s="320"/>
      <c r="E203" s="320"/>
      <c r="F203" s="320"/>
    </row>
    <row r="204" spans="1:6" x14ac:dyDescent="0.25">
      <c r="A204" s="320"/>
      <c r="B204" s="320"/>
      <c r="C204" s="320"/>
      <c r="D204" s="320"/>
      <c r="E204" s="320"/>
      <c r="F204" s="320"/>
    </row>
    <row r="205" spans="1:6" x14ac:dyDescent="0.25">
      <c r="A205" s="320"/>
      <c r="B205" s="320"/>
      <c r="C205" s="320"/>
      <c r="D205" s="320"/>
      <c r="E205" s="320"/>
      <c r="F205" s="320"/>
    </row>
    <row r="206" spans="1:6" x14ac:dyDescent="0.25">
      <c r="A206" s="320"/>
      <c r="B206" s="320"/>
      <c r="C206" s="320"/>
      <c r="D206" s="320"/>
      <c r="E206" s="320"/>
      <c r="F206" s="320"/>
    </row>
    <row r="207" spans="1:6" x14ac:dyDescent="0.25">
      <c r="A207" s="320"/>
      <c r="B207" s="320"/>
      <c r="C207" s="320"/>
      <c r="D207" s="320"/>
      <c r="E207" s="320"/>
      <c r="F207" s="320"/>
    </row>
    <row r="208" spans="1:6" x14ac:dyDescent="0.25">
      <c r="A208" s="320"/>
      <c r="B208" s="320"/>
      <c r="C208" s="320"/>
      <c r="D208" s="320"/>
      <c r="E208" s="320"/>
      <c r="F208" s="320"/>
    </row>
    <row r="209" spans="1:6" x14ac:dyDescent="0.25">
      <c r="A209" s="320"/>
      <c r="B209" s="320"/>
      <c r="C209" s="320"/>
      <c r="D209" s="320"/>
      <c r="E209" s="320"/>
      <c r="F209" s="320"/>
    </row>
    <row r="210" spans="1:6" x14ac:dyDescent="0.25">
      <c r="A210" s="320"/>
      <c r="B210" s="320"/>
      <c r="C210" s="320"/>
      <c r="D210" s="320"/>
      <c r="E210" s="320"/>
      <c r="F210" s="320"/>
    </row>
    <row r="211" spans="1:6" x14ac:dyDescent="0.25">
      <c r="A211" s="320"/>
      <c r="B211" s="320"/>
      <c r="C211" s="320"/>
      <c r="D211" s="320"/>
      <c r="E211" s="320"/>
      <c r="F211" s="320"/>
    </row>
    <row r="212" spans="1:6" x14ac:dyDescent="0.25">
      <c r="A212" s="320"/>
      <c r="B212" s="320"/>
      <c r="C212" s="320"/>
      <c r="D212" s="320"/>
      <c r="E212" s="320"/>
      <c r="F212" s="320"/>
    </row>
    <row r="213" spans="1:6" x14ac:dyDescent="0.25">
      <c r="A213" s="320"/>
      <c r="B213" s="320"/>
      <c r="C213" s="320"/>
      <c r="D213" s="320"/>
      <c r="E213" s="320"/>
      <c r="F213" s="320"/>
    </row>
    <row r="214" spans="1:6" x14ac:dyDescent="0.25">
      <c r="A214" s="320"/>
      <c r="B214" s="320"/>
      <c r="C214" s="320"/>
      <c r="D214" s="320"/>
      <c r="E214" s="320"/>
      <c r="F214" s="320"/>
    </row>
    <row r="215" spans="1:6" x14ac:dyDescent="0.25">
      <c r="A215" s="320"/>
      <c r="B215" s="320"/>
      <c r="C215" s="320"/>
      <c r="D215" s="320"/>
      <c r="E215" s="320"/>
      <c r="F215" s="320"/>
    </row>
    <row r="216" spans="1:6" x14ac:dyDescent="0.25">
      <c r="A216" s="320"/>
      <c r="B216" s="320"/>
      <c r="C216" s="320"/>
      <c r="D216" s="320"/>
      <c r="E216" s="320"/>
      <c r="F216" s="320"/>
    </row>
    <row r="217" spans="1:6" x14ac:dyDescent="0.25">
      <c r="A217" s="320"/>
      <c r="B217" s="320"/>
      <c r="C217" s="320"/>
      <c r="D217" s="320"/>
      <c r="E217" s="320"/>
      <c r="F217" s="320"/>
    </row>
    <row r="218" spans="1:6" x14ac:dyDescent="0.25">
      <c r="A218" s="320"/>
      <c r="B218" s="320"/>
      <c r="C218" s="320"/>
      <c r="D218" s="320"/>
      <c r="E218" s="320"/>
      <c r="F218" s="320"/>
    </row>
    <row r="219" spans="1:6" x14ac:dyDescent="0.25">
      <c r="A219" s="320"/>
      <c r="B219" s="320"/>
      <c r="C219" s="320"/>
      <c r="D219" s="320"/>
      <c r="E219" s="320"/>
      <c r="F219" s="320"/>
    </row>
    <row r="220" spans="1:6" x14ac:dyDescent="0.25">
      <c r="A220" s="320"/>
      <c r="B220" s="320"/>
      <c r="C220" s="320"/>
      <c r="D220" s="320"/>
      <c r="E220" s="320"/>
      <c r="F220" s="320"/>
    </row>
    <row r="221" spans="1:6" x14ac:dyDescent="0.25">
      <c r="A221" s="320"/>
      <c r="B221" s="320"/>
      <c r="C221" s="320"/>
      <c r="D221" s="320"/>
      <c r="E221" s="320"/>
      <c r="F221" s="320"/>
    </row>
    <row r="222" spans="1:6" x14ac:dyDescent="0.25">
      <c r="A222" s="320"/>
      <c r="B222" s="320"/>
      <c r="C222" s="320"/>
      <c r="D222" s="320"/>
      <c r="E222" s="320"/>
      <c r="F222" s="320"/>
    </row>
    <row r="223" spans="1:6" x14ac:dyDescent="0.25">
      <c r="A223" s="320"/>
      <c r="B223" s="320"/>
      <c r="C223" s="320"/>
      <c r="D223" s="320"/>
      <c r="E223" s="320"/>
      <c r="F223" s="320"/>
    </row>
    <row r="224" spans="1:6" x14ac:dyDescent="0.25">
      <c r="A224" s="320"/>
      <c r="B224" s="320"/>
      <c r="C224" s="320"/>
      <c r="D224" s="320"/>
      <c r="E224" s="320"/>
      <c r="F224" s="320"/>
    </row>
    <row r="225" spans="1:6" x14ac:dyDescent="0.25">
      <c r="A225" s="320"/>
      <c r="B225" s="320"/>
      <c r="C225" s="320"/>
      <c r="D225" s="320"/>
      <c r="E225" s="320"/>
      <c r="F225" s="320"/>
    </row>
    <row r="226" spans="1:6" x14ac:dyDescent="0.25">
      <c r="A226" s="320"/>
      <c r="B226" s="320"/>
      <c r="C226" s="320"/>
      <c r="D226" s="320"/>
      <c r="E226" s="320"/>
      <c r="F226" s="320"/>
    </row>
    <row r="227" spans="1:6" x14ac:dyDescent="0.25">
      <c r="A227" s="320"/>
      <c r="B227" s="320"/>
      <c r="C227" s="320"/>
      <c r="D227" s="320"/>
      <c r="E227" s="320"/>
      <c r="F227" s="320"/>
    </row>
    <row r="228" spans="1:6" x14ac:dyDescent="0.25">
      <c r="A228" s="320"/>
      <c r="B228" s="320"/>
      <c r="C228" s="320"/>
      <c r="D228" s="320"/>
      <c r="E228" s="320"/>
      <c r="F228" s="320"/>
    </row>
    <row r="229" spans="1:6" x14ac:dyDescent="0.25">
      <c r="A229" s="320"/>
      <c r="B229" s="320"/>
      <c r="C229" s="320"/>
      <c r="D229" s="320"/>
      <c r="E229" s="320"/>
      <c r="F229" s="320"/>
    </row>
    <row r="230" spans="1:6" x14ac:dyDescent="0.25">
      <c r="A230" s="320"/>
      <c r="B230" s="320"/>
      <c r="C230" s="320"/>
      <c r="D230" s="320"/>
      <c r="E230" s="320"/>
      <c r="F230" s="320"/>
    </row>
    <row r="231" spans="1:6" x14ac:dyDescent="0.25">
      <c r="A231" s="320"/>
      <c r="B231" s="320"/>
      <c r="C231" s="320"/>
      <c r="D231" s="320"/>
      <c r="E231" s="320"/>
      <c r="F231" s="320"/>
    </row>
    <row r="232" spans="1:6" x14ac:dyDescent="0.25">
      <c r="A232" s="320"/>
      <c r="B232" s="320"/>
      <c r="C232" s="320"/>
      <c r="D232" s="320"/>
      <c r="E232" s="320"/>
      <c r="F232" s="320"/>
    </row>
    <row r="233" spans="1:6" x14ac:dyDescent="0.25">
      <c r="A233" s="320"/>
      <c r="B233" s="320"/>
      <c r="C233" s="320"/>
      <c r="D233" s="320"/>
      <c r="E233" s="320"/>
      <c r="F233" s="320"/>
    </row>
    <row r="234" spans="1:6" x14ac:dyDescent="0.25">
      <c r="A234" s="320"/>
      <c r="B234" s="320"/>
      <c r="C234" s="320"/>
      <c r="D234" s="320"/>
      <c r="E234" s="320"/>
      <c r="F234" s="320"/>
    </row>
    <row r="235" spans="1:6" x14ac:dyDescent="0.25">
      <c r="A235" s="320"/>
      <c r="B235" s="320"/>
      <c r="C235" s="320"/>
      <c r="D235" s="320"/>
      <c r="E235" s="320"/>
      <c r="F235" s="320"/>
    </row>
    <row r="236" spans="1:6" x14ac:dyDescent="0.25">
      <c r="A236" s="320"/>
      <c r="B236" s="320"/>
      <c r="C236" s="320"/>
      <c r="D236" s="320"/>
      <c r="E236" s="320"/>
      <c r="F236" s="320"/>
    </row>
    <row r="237" spans="1:6" x14ac:dyDescent="0.25">
      <c r="A237" s="320"/>
      <c r="B237" s="320"/>
      <c r="C237" s="320"/>
      <c r="D237" s="320"/>
      <c r="E237" s="320"/>
      <c r="F237" s="320"/>
    </row>
    <row r="238" spans="1:6" x14ac:dyDescent="0.25">
      <c r="A238" s="320"/>
      <c r="B238" s="320"/>
      <c r="C238" s="320"/>
      <c r="D238" s="320"/>
      <c r="E238" s="320"/>
      <c r="F238" s="320"/>
    </row>
    <row r="239" spans="1:6" x14ac:dyDescent="0.25">
      <c r="A239" s="320"/>
      <c r="B239" s="320"/>
      <c r="C239" s="320"/>
      <c r="D239" s="320"/>
      <c r="E239" s="320"/>
      <c r="F239" s="320"/>
    </row>
    <row r="240" spans="1:6" x14ac:dyDescent="0.25">
      <c r="A240" s="320"/>
      <c r="B240" s="320"/>
      <c r="C240" s="320"/>
      <c r="D240" s="320"/>
      <c r="E240" s="320"/>
      <c r="F240" s="320"/>
    </row>
    <row r="241" spans="1:6" x14ac:dyDescent="0.25">
      <c r="A241" s="320"/>
      <c r="B241" s="320"/>
      <c r="C241" s="320"/>
      <c r="D241" s="320"/>
      <c r="E241" s="320"/>
      <c r="F241" s="320"/>
    </row>
    <row r="242" spans="1:6" x14ac:dyDescent="0.25">
      <c r="A242" s="320"/>
      <c r="B242" s="320"/>
      <c r="C242" s="320"/>
      <c r="D242" s="320"/>
      <c r="E242" s="320"/>
      <c r="F242" s="320"/>
    </row>
    <row r="243" spans="1:6" x14ac:dyDescent="0.25">
      <c r="A243" s="320"/>
      <c r="B243" s="320"/>
      <c r="C243" s="320"/>
      <c r="D243" s="320"/>
      <c r="E243" s="320"/>
      <c r="F243" s="320"/>
    </row>
    <row r="244" spans="1:6" x14ac:dyDescent="0.25">
      <c r="A244" s="320"/>
      <c r="B244" s="320"/>
      <c r="C244" s="320"/>
      <c r="D244" s="320"/>
      <c r="E244" s="320"/>
      <c r="F244" s="320"/>
    </row>
    <row r="245" spans="1:6" x14ac:dyDescent="0.25">
      <c r="A245" s="320"/>
      <c r="B245" s="320"/>
      <c r="C245" s="320"/>
      <c r="D245" s="320"/>
      <c r="E245" s="320"/>
      <c r="F245" s="320"/>
    </row>
    <row r="246" spans="1:6" x14ac:dyDescent="0.25">
      <c r="A246" s="320"/>
      <c r="B246" s="320"/>
      <c r="C246" s="320"/>
      <c r="D246" s="320"/>
      <c r="E246" s="320"/>
      <c r="F246" s="320"/>
    </row>
    <row r="247" spans="1:6" x14ac:dyDescent="0.25">
      <c r="A247" s="320"/>
      <c r="B247" s="320"/>
      <c r="C247" s="320"/>
      <c r="D247" s="320"/>
      <c r="E247" s="320"/>
      <c r="F247" s="320"/>
    </row>
    <row r="248" spans="1:6" x14ac:dyDescent="0.25">
      <c r="A248" s="320"/>
      <c r="B248" s="320"/>
      <c r="C248" s="320"/>
      <c r="D248" s="320"/>
      <c r="E248" s="320"/>
      <c r="F248" s="320"/>
    </row>
    <row r="249" spans="1:6" x14ac:dyDescent="0.25">
      <c r="A249" s="320"/>
      <c r="B249" s="320"/>
      <c r="C249" s="320"/>
      <c r="D249" s="320"/>
      <c r="E249" s="320"/>
      <c r="F249" s="320"/>
    </row>
    <row r="250" spans="1:6" x14ac:dyDescent="0.25">
      <c r="A250" s="320"/>
      <c r="B250" s="320"/>
      <c r="C250" s="320"/>
      <c r="D250" s="320"/>
      <c r="E250" s="320"/>
      <c r="F250" s="320"/>
    </row>
    <row r="251" spans="1:6" x14ac:dyDescent="0.25">
      <c r="A251" s="320"/>
      <c r="B251" s="320"/>
      <c r="C251" s="320"/>
      <c r="D251" s="320"/>
      <c r="E251" s="320"/>
      <c r="F251" s="320"/>
    </row>
    <row r="252" spans="1:6" x14ac:dyDescent="0.25">
      <c r="A252" s="320"/>
      <c r="B252" s="320"/>
      <c r="C252" s="320"/>
      <c r="D252" s="320"/>
      <c r="E252" s="320"/>
      <c r="F252" s="320"/>
    </row>
    <row r="253" spans="1:6" x14ac:dyDescent="0.25">
      <c r="A253" s="320"/>
      <c r="B253" s="320"/>
      <c r="C253" s="320"/>
      <c r="D253" s="320"/>
      <c r="E253" s="320"/>
      <c r="F253" s="320"/>
    </row>
    <row r="254" spans="1:6" x14ac:dyDescent="0.25">
      <c r="A254" s="320"/>
      <c r="B254" s="320"/>
      <c r="C254" s="320"/>
      <c r="D254" s="320"/>
      <c r="E254" s="320"/>
      <c r="F254" s="320"/>
    </row>
    <row r="255" spans="1:6" x14ac:dyDescent="0.25">
      <c r="A255" s="320"/>
      <c r="B255" s="320"/>
      <c r="C255" s="320"/>
      <c r="D255" s="320"/>
      <c r="E255" s="320"/>
      <c r="F255" s="320"/>
    </row>
    <row r="256" spans="1:6" x14ac:dyDescent="0.25">
      <c r="A256" s="320"/>
      <c r="B256" s="320"/>
      <c r="C256" s="320"/>
      <c r="D256" s="320"/>
      <c r="E256" s="320"/>
      <c r="F256" s="320"/>
    </row>
    <row r="257" spans="1:6" x14ac:dyDescent="0.25">
      <c r="A257" s="320"/>
      <c r="B257" s="320"/>
      <c r="C257" s="320"/>
      <c r="D257" s="320"/>
      <c r="E257" s="320"/>
      <c r="F257" s="320"/>
    </row>
    <row r="258" spans="1:6" x14ac:dyDescent="0.25">
      <c r="A258" s="320"/>
      <c r="B258" s="320"/>
      <c r="C258" s="320"/>
      <c r="D258" s="320"/>
      <c r="E258" s="320"/>
      <c r="F258" s="320"/>
    </row>
    <row r="259" spans="1:6" x14ac:dyDescent="0.25">
      <c r="A259" s="320"/>
      <c r="B259" s="320"/>
      <c r="C259" s="320"/>
      <c r="D259" s="320"/>
      <c r="E259" s="320"/>
      <c r="F259" s="320"/>
    </row>
    <row r="260" spans="1:6" x14ac:dyDescent="0.25">
      <c r="A260" s="320"/>
      <c r="B260" s="320"/>
      <c r="C260" s="320"/>
      <c r="D260" s="320"/>
      <c r="E260" s="320"/>
      <c r="F260" s="320"/>
    </row>
    <row r="261" spans="1:6" x14ac:dyDescent="0.25">
      <c r="A261" s="320"/>
      <c r="B261" s="320"/>
      <c r="C261" s="320"/>
      <c r="D261" s="320"/>
      <c r="E261" s="320"/>
      <c r="F261" s="320"/>
    </row>
    <row r="262" spans="1:6" x14ac:dyDescent="0.25">
      <c r="A262" s="320"/>
      <c r="B262" s="320"/>
      <c r="C262" s="320"/>
      <c r="D262" s="320"/>
      <c r="E262" s="320"/>
      <c r="F262" s="320"/>
    </row>
    <row r="263" spans="1:6" x14ac:dyDescent="0.25">
      <c r="A263" s="320"/>
      <c r="B263" s="320"/>
      <c r="C263" s="320"/>
      <c r="D263" s="320"/>
      <c r="E263" s="320"/>
      <c r="F263" s="320"/>
    </row>
    <row r="264" spans="1:6" x14ac:dyDescent="0.25">
      <c r="A264" s="320"/>
      <c r="B264" s="320"/>
      <c r="C264" s="320"/>
      <c r="D264" s="320"/>
      <c r="E264" s="320"/>
      <c r="F264" s="320"/>
    </row>
    <row r="265" spans="1:6" x14ac:dyDescent="0.25">
      <c r="A265" s="320"/>
      <c r="B265" s="320"/>
      <c r="C265" s="320"/>
      <c r="D265" s="320"/>
      <c r="E265" s="320"/>
      <c r="F265" s="320"/>
    </row>
    <row r="266" spans="1:6" x14ac:dyDescent="0.25">
      <c r="A266" s="320"/>
      <c r="B266" s="320"/>
      <c r="C266" s="320"/>
      <c r="D266" s="320"/>
      <c r="E266" s="320"/>
      <c r="F266" s="320"/>
    </row>
    <row r="267" spans="1:6" x14ac:dyDescent="0.25">
      <c r="A267" s="320"/>
      <c r="B267" s="320"/>
      <c r="C267" s="320"/>
      <c r="D267" s="320"/>
      <c r="E267" s="320"/>
      <c r="F267" s="320"/>
    </row>
    <row r="268" spans="1:6" x14ac:dyDescent="0.25">
      <c r="A268" s="320"/>
      <c r="B268" s="320"/>
      <c r="C268" s="320"/>
      <c r="D268" s="320"/>
      <c r="E268" s="320"/>
      <c r="F268" s="320"/>
    </row>
    <row r="269" spans="1:6" x14ac:dyDescent="0.25">
      <c r="A269" s="320"/>
      <c r="B269" s="320"/>
      <c r="C269" s="320"/>
      <c r="D269" s="320"/>
      <c r="E269" s="320"/>
      <c r="F269" s="320"/>
    </row>
    <row r="270" spans="1:6" x14ac:dyDescent="0.25">
      <c r="A270" s="320"/>
      <c r="B270" s="320"/>
      <c r="C270" s="320"/>
      <c r="D270" s="320"/>
      <c r="E270" s="320"/>
      <c r="F270" s="320"/>
    </row>
    <row r="271" spans="1:6" x14ac:dyDescent="0.25">
      <c r="A271" s="320"/>
      <c r="B271" s="320"/>
      <c r="C271" s="320"/>
      <c r="D271" s="320"/>
      <c r="E271" s="320"/>
      <c r="F271" s="320"/>
    </row>
    <row r="272" spans="1:6" x14ac:dyDescent="0.25">
      <c r="A272" s="320"/>
      <c r="B272" s="320"/>
      <c r="C272" s="320"/>
      <c r="D272" s="320"/>
      <c r="E272" s="320"/>
      <c r="F272" s="320"/>
    </row>
    <row r="273" spans="1:6" x14ac:dyDescent="0.25">
      <c r="A273" s="320"/>
      <c r="B273" s="320"/>
      <c r="C273" s="320"/>
      <c r="D273" s="320"/>
      <c r="E273" s="320"/>
      <c r="F273" s="320"/>
    </row>
    <row r="274" spans="1:6" x14ac:dyDescent="0.25">
      <c r="A274" s="320"/>
      <c r="B274" s="320"/>
      <c r="C274" s="320"/>
      <c r="D274" s="320"/>
      <c r="E274" s="320"/>
      <c r="F274" s="320"/>
    </row>
    <row r="275" spans="1:6" x14ac:dyDescent="0.25">
      <c r="A275" s="320"/>
      <c r="B275" s="320"/>
      <c r="C275" s="320"/>
      <c r="D275" s="320"/>
      <c r="E275" s="320"/>
      <c r="F275" s="320"/>
    </row>
    <row r="276" spans="1:6" x14ac:dyDescent="0.25">
      <c r="A276" s="320"/>
      <c r="B276" s="320"/>
      <c r="C276" s="320"/>
      <c r="D276" s="320"/>
      <c r="E276" s="320"/>
      <c r="F276" s="320"/>
    </row>
    <row r="277" spans="1:6" x14ac:dyDescent="0.25">
      <c r="A277" s="320"/>
      <c r="B277" s="320"/>
      <c r="C277" s="320"/>
      <c r="D277" s="320"/>
      <c r="E277" s="320"/>
      <c r="F277" s="320"/>
    </row>
    <row r="278" spans="1:6" x14ac:dyDescent="0.25">
      <c r="A278" s="320"/>
      <c r="B278" s="320"/>
      <c r="C278" s="320"/>
      <c r="D278" s="320"/>
      <c r="E278" s="320"/>
      <c r="F278" s="320"/>
    </row>
    <row r="279" spans="1:6" x14ac:dyDescent="0.25">
      <c r="A279" s="320"/>
      <c r="B279" s="320"/>
      <c r="C279" s="320"/>
      <c r="D279" s="320"/>
      <c r="E279" s="320"/>
      <c r="F279" s="320"/>
    </row>
    <row r="280" spans="1:6" x14ac:dyDescent="0.25">
      <c r="A280" s="320"/>
      <c r="B280" s="320"/>
      <c r="C280" s="320"/>
      <c r="D280" s="320"/>
      <c r="E280" s="320"/>
      <c r="F280" s="320"/>
    </row>
    <row r="281" spans="1:6" x14ac:dyDescent="0.25">
      <c r="A281" s="320"/>
      <c r="B281" s="320"/>
      <c r="C281" s="320"/>
      <c r="D281" s="320"/>
      <c r="E281" s="320"/>
      <c r="F281" s="320"/>
    </row>
    <row r="282" spans="1:6" x14ac:dyDescent="0.25">
      <c r="A282" s="320"/>
      <c r="B282" s="320"/>
      <c r="C282" s="320"/>
      <c r="D282" s="320"/>
      <c r="E282" s="320"/>
      <c r="F282" s="320"/>
    </row>
    <row r="283" spans="1:6" x14ac:dyDescent="0.25">
      <c r="A283" s="320"/>
      <c r="B283" s="320"/>
      <c r="C283" s="320"/>
      <c r="D283" s="320"/>
      <c r="E283" s="320"/>
      <c r="F283" s="320"/>
    </row>
    <row r="284" spans="1:6" x14ac:dyDescent="0.25">
      <c r="A284" s="320"/>
      <c r="B284" s="320"/>
      <c r="C284" s="320"/>
      <c r="D284" s="320"/>
      <c r="E284" s="320"/>
      <c r="F284" s="320"/>
    </row>
    <row r="285" spans="1:6" x14ac:dyDescent="0.25">
      <c r="A285" s="320"/>
      <c r="B285" s="320"/>
      <c r="C285" s="320"/>
      <c r="D285" s="320"/>
      <c r="E285" s="320"/>
      <c r="F285" s="320"/>
    </row>
    <row r="286" spans="1:6" x14ac:dyDescent="0.25">
      <c r="A286" s="320"/>
      <c r="B286" s="320"/>
      <c r="C286" s="320"/>
      <c r="D286" s="320"/>
      <c r="E286" s="320"/>
      <c r="F286" s="320"/>
    </row>
    <row r="287" spans="1:6" x14ac:dyDescent="0.25">
      <c r="A287" s="320"/>
      <c r="B287" s="320"/>
      <c r="C287" s="320"/>
      <c r="D287" s="320"/>
      <c r="E287" s="320"/>
      <c r="F287" s="320"/>
    </row>
    <row r="288" spans="1:6" x14ac:dyDescent="0.25">
      <c r="A288" s="320"/>
      <c r="B288" s="320"/>
      <c r="C288" s="320"/>
      <c r="D288" s="320"/>
      <c r="E288" s="320"/>
      <c r="F288" s="320"/>
    </row>
    <row r="289" spans="1:6" x14ac:dyDescent="0.25">
      <c r="A289" s="320"/>
      <c r="B289" s="320"/>
      <c r="C289" s="320"/>
      <c r="D289" s="320"/>
      <c r="E289" s="320"/>
      <c r="F289" s="320"/>
    </row>
  </sheetData>
  <hyperlinks>
    <hyperlink ref="B24" r:id="rId1" xr:uid="{E179B3F0-7904-4EC2-92DB-42114ED72CCB}"/>
    <hyperlink ref="B9" r:id="rId2" xr:uid="{6D3BC32F-ECC4-406A-B799-D9F2B85D6CC8}"/>
    <hyperlink ref="B12" r:id="rId3" xr:uid="{F5EE93BD-4552-4A67-847D-7AB81C68B268}"/>
    <hyperlink ref="B15" r:id="rId4" xr:uid="{A9956611-6840-411D-B962-FA8EF76FC995}"/>
    <hyperlink ref="B18" r:id="rId5" xr:uid="{E53AFA68-F686-4270-9DFB-A7A2ED2E70E4}"/>
  </hyperlinks>
  <pageMargins left="0.70866141732283472" right="0.70866141732283472" top="0.39370078740157483" bottom="0.39370078740157483" header="0.31496062992125984" footer="0.31496062992125984"/>
  <pageSetup paperSize="9" scale="83" fitToHeight="0" orientation="portrait" r:id="rId6"/>
  <rowBreaks count="1" manualBreakCount="1">
    <brk id="16" max="16383" man="1"/>
  </rowBreaks>
  <drawing r:id="rId7"/>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77EE1-EEF9-4558-8F30-F4E26B66BA89}">
  <sheetPr codeName="Tabelle3"/>
  <dimension ref="A1:B20"/>
  <sheetViews>
    <sheetView zoomScaleNormal="100" zoomScaleSheetLayoutView="100" workbookViewId="0">
      <selection sqref="A1:B1"/>
    </sheetView>
  </sheetViews>
  <sheetFormatPr defaultColWidth="12.54296875" defaultRowHeight="11.5" x14ac:dyDescent="0.25"/>
  <cols>
    <col min="1" max="1" width="2.26953125" style="335" customWidth="1"/>
    <col min="2" max="2" width="87.453125" style="335" customWidth="1"/>
    <col min="3" max="6" width="117.453125" style="335" customWidth="1"/>
    <col min="7" max="16384" width="12.54296875" style="335"/>
  </cols>
  <sheetData>
    <row r="1" spans="1:2" s="334" customFormat="1" ht="36.75" customHeight="1" x14ac:dyDescent="0.25">
      <c r="A1" s="532" t="s">
        <v>40</v>
      </c>
      <c r="B1" s="532"/>
    </row>
    <row r="2" spans="1:2" ht="19.5" customHeight="1" x14ac:dyDescent="0.25">
      <c r="B2" s="336" t="s">
        <v>421</v>
      </c>
    </row>
    <row r="3" spans="1:2" ht="14" x14ac:dyDescent="0.3">
      <c r="B3" s="337" t="s">
        <v>79</v>
      </c>
    </row>
    <row r="5" spans="1:2" ht="29.25" customHeight="1" x14ac:dyDescent="0.25">
      <c r="B5" s="338" t="s">
        <v>422</v>
      </c>
    </row>
    <row r="6" spans="1:2" ht="10" customHeight="1" x14ac:dyDescent="0.25">
      <c r="B6" s="338"/>
    </row>
    <row r="7" spans="1:2" ht="73.5" customHeight="1" x14ac:dyDescent="0.25">
      <c r="B7" s="338" t="s">
        <v>423</v>
      </c>
    </row>
    <row r="8" spans="1:2" ht="10" customHeight="1" x14ac:dyDescent="0.25">
      <c r="B8" s="338"/>
    </row>
    <row r="9" spans="1:2" ht="50.25" customHeight="1" x14ac:dyDescent="0.25">
      <c r="B9" s="338" t="s">
        <v>424</v>
      </c>
    </row>
    <row r="10" spans="1:2" ht="10" customHeight="1" x14ac:dyDescent="0.25">
      <c r="B10" s="338"/>
    </row>
    <row r="11" spans="1:2" ht="79.5" customHeight="1" x14ac:dyDescent="0.25">
      <c r="B11" s="338" t="s">
        <v>425</v>
      </c>
    </row>
    <row r="12" spans="1:2" ht="10" customHeight="1" x14ac:dyDescent="0.25">
      <c r="B12" s="338"/>
    </row>
    <row r="13" spans="1:2" ht="48.75" customHeight="1" x14ac:dyDescent="0.25">
      <c r="B13" s="338" t="s">
        <v>426</v>
      </c>
    </row>
    <row r="14" spans="1:2" ht="10" customHeight="1" x14ac:dyDescent="0.25">
      <c r="B14" s="338"/>
    </row>
    <row r="15" spans="1:2" ht="33" customHeight="1" x14ac:dyDescent="0.25">
      <c r="B15" s="338" t="s">
        <v>427</v>
      </c>
    </row>
    <row r="16" spans="1:2" ht="10" customHeight="1" x14ac:dyDescent="0.25">
      <c r="B16" s="338"/>
    </row>
    <row r="17" spans="2:2" ht="92" x14ac:dyDescent="0.25">
      <c r="B17" s="338" t="s">
        <v>428</v>
      </c>
    </row>
    <row r="18" spans="2:2" ht="10" customHeight="1" x14ac:dyDescent="0.25">
      <c r="B18" s="338"/>
    </row>
    <row r="19" spans="2:2" ht="13.5" customHeight="1" x14ac:dyDescent="0.25">
      <c r="B19" s="339" t="s">
        <v>429</v>
      </c>
    </row>
    <row r="20" spans="2:2" ht="40.5" customHeight="1" x14ac:dyDescent="0.25">
      <c r="B20" s="340" t="s">
        <v>430</v>
      </c>
    </row>
  </sheetData>
  <mergeCells count="1">
    <mergeCell ref="A1:B1"/>
  </mergeCells>
  <hyperlinks>
    <hyperlink ref="B20" r:id="rId1" xr:uid="{77692D2D-81F5-45E1-A860-71AF2B8A368C}"/>
  </hyperlinks>
  <pageMargins left="0.7" right="0.7" top="0.78740157499999996" bottom="0.78740157499999996" header="0.3" footer="0.3"/>
  <pageSetup paperSize="9" orientation="portrait" r:id="rId2"/>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08A97-C255-4A67-89DA-BA766733BA3A}">
  <sheetPr codeName="Tabelle6">
    <pageSetUpPr fitToPage="1"/>
  </sheetPr>
  <dimension ref="A1:F289"/>
  <sheetViews>
    <sheetView showGridLines="0" zoomScaleNormal="100" workbookViewId="0">
      <selection sqref="A1:B1"/>
    </sheetView>
  </sheetViews>
  <sheetFormatPr defaultColWidth="12.54296875" defaultRowHeight="12.5" x14ac:dyDescent="0.25"/>
  <cols>
    <col min="1" max="1" width="2.1796875" style="341" customWidth="1"/>
    <col min="2" max="2" width="87.453125" style="341" customWidth="1"/>
    <col min="3" max="6" width="12.54296875" style="341"/>
    <col min="7" max="7" width="4.7265625" style="341" customWidth="1"/>
    <col min="8" max="16384" width="12.54296875" style="341"/>
  </cols>
  <sheetData>
    <row r="1" spans="1:2" ht="39.75" customHeight="1" x14ac:dyDescent="0.25">
      <c r="A1" s="533" t="s">
        <v>40</v>
      </c>
      <c r="B1" s="533"/>
    </row>
    <row r="2" spans="1:2" ht="25.5" customHeight="1" x14ac:dyDescent="0.25">
      <c r="B2" s="342" t="s">
        <v>421</v>
      </c>
    </row>
    <row r="3" spans="1:2" ht="25" customHeight="1" x14ac:dyDescent="0.25">
      <c r="A3" s="343"/>
      <c r="B3" s="344" t="s">
        <v>81</v>
      </c>
    </row>
    <row r="4" spans="1:2" s="335" customFormat="1" ht="11.5" x14ac:dyDescent="0.25"/>
    <row r="5" spans="1:2" s="335" customFormat="1" ht="139.5" customHeight="1" x14ac:dyDescent="0.25">
      <c r="B5" s="338" t="s">
        <v>431</v>
      </c>
    </row>
    <row r="6" spans="1:2" s="335" customFormat="1" ht="10" customHeight="1" x14ac:dyDescent="0.25">
      <c r="B6" s="338"/>
    </row>
    <row r="7" spans="1:2" s="335" customFormat="1" ht="222.75" customHeight="1" x14ac:dyDescent="0.25">
      <c r="B7" s="338" t="s">
        <v>432</v>
      </c>
    </row>
    <row r="8" spans="1:2" s="335" customFormat="1" ht="10" customHeight="1" x14ac:dyDescent="0.25">
      <c r="B8" s="338"/>
    </row>
    <row r="9" spans="1:2" s="335" customFormat="1" ht="61.5" customHeight="1" x14ac:dyDescent="0.25">
      <c r="B9" s="345" t="s">
        <v>433</v>
      </c>
    </row>
    <row r="10" spans="1:2" s="335" customFormat="1" ht="10" customHeight="1" x14ac:dyDescent="0.25">
      <c r="B10" s="338"/>
    </row>
    <row r="11" spans="1:2" s="335" customFormat="1" ht="152.25" customHeight="1" x14ac:dyDescent="0.25">
      <c r="B11" s="338" t="s">
        <v>434</v>
      </c>
    </row>
    <row r="12" spans="1:2" s="335" customFormat="1" ht="10" customHeight="1" x14ac:dyDescent="0.25">
      <c r="B12" s="338"/>
    </row>
    <row r="13" spans="1:2" s="335" customFormat="1" ht="96" customHeight="1" x14ac:dyDescent="0.25">
      <c r="B13" s="338" t="s">
        <v>435</v>
      </c>
    </row>
    <row r="14" spans="1:2" s="335" customFormat="1" ht="10" customHeight="1" x14ac:dyDescent="0.25">
      <c r="B14" s="338"/>
    </row>
    <row r="15" spans="1:2" s="335" customFormat="1" ht="176.25" customHeight="1" x14ac:dyDescent="0.25">
      <c r="B15" s="345" t="s">
        <v>436</v>
      </c>
    </row>
    <row r="16" spans="1:2" s="335" customFormat="1" ht="10" customHeight="1" x14ac:dyDescent="0.25">
      <c r="B16" s="338"/>
    </row>
    <row r="17" spans="1:6" s="335" customFormat="1" ht="26.25" customHeight="1" x14ac:dyDescent="0.25">
      <c r="B17" s="339" t="s">
        <v>437</v>
      </c>
    </row>
    <row r="18" spans="1:6" s="335" customFormat="1" ht="37.5" customHeight="1" x14ac:dyDescent="0.25">
      <c r="B18" s="346" t="s">
        <v>438</v>
      </c>
    </row>
    <row r="19" spans="1:6" s="335" customFormat="1" ht="11.5" x14ac:dyDescent="0.25"/>
    <row r="20" spans="1:6" s="335" customFormat="1" ht="11.5" x14ac:dyDescent="0.25"/>
    <row r="21" spans="1:6" s="335" customFormat="1" ht="11.5" x14ac:dyDescent="0.25"/>
    <row r="22" spans="1:6" x14ac:dyDescent="0.25">
      <c r="A22" s="343"/>
      <c r="B22" s="343"/>
      <c r="C22" s="343"/>
      <c r="D22" s="343"/>
      <c r="E22" s="343"/>
      <c r="F22" s="343"/>
    </row>
    <row r="23" spans="1:6" x14ac:dyDescent="0.25">
      <c r="A23" s="343"/>
      <c r="B23" s="343"/>
      <c r="C23" s="343"/>
      <c r="D23" s="343"/>
      <c r="E23" s="343"/>
      <c r="F23" s="343"/>
    </row>
    <row r="24" spans="1:6" ht="13" x14ac:dyDescent="0.25">
      <c r="A24" s="347"/>
      <c r="B24" s="343"/>
      <c r="C24" s="343"/>
      <c r="D24" s="343"/>
      <c r="E24" s="343"/>
      <c r="F24" s="343"/>
    </row>
    <row r="25" spans="1:6" x14ac:dyDescent="0.25">
      <c r="A25" s="348"/>
      <c r="B25" s="343"/>
      <c r="C25" s="343"/>
      <c r="D25" s="343"/>
      <c r="E25" s="343"/>
      <c r="F25" s="343"/>
    </row>
    <row r="26" spans="1:6" x14ac:dyDescent="0.25">
      <c r="A26" s="343"/>
      <c r="B26" s="343"/>
      <c r="C26" s="343"/>
      <c r="D26" s="343"/>
      <c r="E26" s="343"/>
      <c r="F26" s="343"/>
    </row>
    <row r="27" spans="1:6" x14ac:dyDescent="0.25">
      <c r="A27" s="343"/>
      <c r="B27" s="343"/>
      <c r="C27" s="343"/>
      <c r="D27" s="343"/>
      <c r="E27" s="343"/>
      <c r="F27" s="343"/>
    </row>
    <row r="28" spans="1:6" x14ac:dyDescent="0.25">
      <c r="A28" s="343"/>
      <c r="B28" s="343"/>
      <c r="C28" s="343"/>
      <c r="D28" s="343"/>
      <c r="E28" s="343"/>
      <c r="F28" s="343"/>
    </row>
    <row r="29" spans="1:6" x14ac:dyDescent="0.25">
      <c r="A29" s="343"/>
      <c r="B29" s="343"/>
      <c r="C29" s="343"/>
      <c r="D29" s="343"/>
      <c r="E29" s="343"/>
      <c r="F29" s="343"/>
    </row>
    <row r="30" spans="1:6" x14ac:dyDescent="0.25">
      <c r="A30" s="343"/>
      <c r="B30" s="343"/>
      <c r="C30" s="343"/>
      <c r="D30" s="343"/>
      <c r="E30" s="343"/>
      <c r="F30" s="343"/>
    </row>
    <row r="31" spans="1:6" x14ac:dyDescent="0.25">
      <c r="A31" s="343"/>
      <c r="B31" s="343"/>
      <c r="C31" s="343"/>
      <c r="D31" s="343"/>
      <c r="E31" s="343"/>
      <c r="F31" s="343"/>
    </row>
    <row r="32" spans="1:6" x14ac:dyDescent="0.25">
      <c r="A32" s="343"/>
      <c r="B32" s="343"/>
      <c r="C32" s="343"/>
      <c r="D32" s="343"/>
      <c r="E32" s="343"/>
      <c r="F32" s="343"/>
    </row>
    <row r="33" spans="1:6" x14ac:dyDescent="0.25">
      <c r="A33" s="349"/>
      <c r="B33" s="349"/>
      <c r="C33" s="349"/>
      <c r="D33" s="349"/>
      <c r="E33" s="349"/>
      <c r="F33" s="349"/>
    </row>
    <row r="34" spans="1:6" x14ac:dyDescent="0.25">
      <c r="A34" s="343"/>
      <c r="B34" s="343"/>
      <c r="C34" s="343"/>
      <c r="D34" s="343"/>
      <c r="E34" s="343"/>
      <c r="F34" s="343"/>
    </row>
    <row r="35" spans="1:6" x14ac:dyDescent="0.25">
      <c r="A35" s="343"/>
      <c r="B35" s="343"/>
      <c r="C35" s="343"/>
      <c r="D35" s="343"/>
      <c r="E35" s="343"/>
      <c r="F35" s="343"/>
    </row>
    <row r="36" spans="1:6" ht="8.15" customHeight="1" x14ac:dyDescent="0.25">
      <c r="A36" s="343"/>
      <c r="B36" s="343"/>
      <c r="C36" s="343"/>
      <c r="D36" s="343"/>
      <c r="E36" s="343"/>
      <c r="F36" s="343"/>
    </row>
    <row r="37" spans="1:6" ht="13.5" customHeight="1" x14ac:dyDescent="0.25">
      <c r="A37" s="343"/>
      <c r="B37" s="343"/>
      <c r="C37" s="343"/>
      <c r="D37" s="343"/>
      <c r="E37" s="343"/>
      <c r="F37" s="343"/>
    </row>
    <row r="38" spans="1:6" x14ac:dyDescent="0.25">
      <c r="A38" s="343"/>
      <c r="B38" s="343"/>
      <c r="C38" s="343"/>
      <c r="D38" s="343"/>
      <c r="E38" s="343"/>
      <c r="F38" s="343"/>
    </row>
    <row r="39" spans="1:6" x14ac:dyDescent="0.25">
      <c r="A39" s="343"/>
      <c r="B39" s="343"/>
      <c r="C39" s="343"/>
      <c r="D39" s="343"/>
      <c r="E39" s="343"/>
      <c r="F39" s="343"/>
    </row>
    <row r="40" spans="1:6" x14ac:dyDescent="0.25">
      <c r="A40" s="343"/>
      <c r="B40" s="343"/>
      <c r="C40" s="343"/>
      <c r="D40" s="343"/>
      <c r="E40" s="343"/>
      <c r="F40" s="343"/>
    </row>
    <row r="41" spans="1:6" x14ac:dyDescent="0.25">
      <c r="A41" s="343"/>
      <c r="B41" s="343"/>
      <c r="C41" s="343"/>
      <c r="D41" s="343"/>
      <c r="E41" s="343"/>
      <c r="F41" s="343"/>
    </row>
    <row r="42" spans="1:6" x14ac:dyDescent="0.25">
      <c r="A42" s="343"/>
      <c r="B42" s="343"/>
      <c r="C42" s="343"/>
      <c r="D42" s="343"/>
      <c r="E42" s="343"/>
      <c r="F42" s="343"/>
    </row>
    <row r="43" spans="1:6" ht="33" customHeight="1" x14ac:dyDescent="0.25">
      <c r="A43" s="343"/>
      <c r="B43" s="343"/>
      <c r="C43" s="343"/>
      <c r="D43" s="343"/>
      <c r="E43" s="343"/>
      <c r="F43" s="343"/>
    </row>
    <row r="44" spans="1:6" ht="16.5" customHeight="1" x14ac:dyDescent="0.25">
      <c r="A44" s="343"/>
      <c r="B44" s="343"/>
      <c r="C44" s="343"/>
      <c r="D44" s="343"/>
      <c r="E44" s="343"/>
      <c r="F44" s="343"/>
    </row>
    <row r="45" spans="1:6" x14ac:dyDescent="0.25">
      <c r="A45" s="343"/>
      <c r="B45" s="343"/>
      <c r="C45" s="343"/>
      <c r="D45" s="343"/>
      <c r="E45" s="343"/>
      <c r="F45" s="343"/>
    </row>
    <row r="46" spans="1:6" x14ac:dyDescent="0.25">
      <c r="A46" s="343"/>
      <c r="B46" s="343"/>
      <c r="C46" s="343"/>
      <c r="D46" s="343"/>
      <c r="E46" s="343"/>
      <c r="F46" s="343"/>
    </row>
    <row r="47" spans="1:6" x14ac:dyDescent="0.25">
      <c r="A47" s="343"/>
      <c r="B47" s="343"/>
      <c r="C47" s="343"/>
      <c r="D47" s="343"/>
      <c r="E47" s="343"/>
      <c r="F47" s="343"/>
    </row>
    <row r="48" spans="1:6" x14ac:dyDescent="0.25">
      <c r="A48" s="343"/>
      <c r="B48" s="343"/>
      <c r="C48" s="343"/>
      <c r="D48" s="343"/>
      <c r="E48" s="343"/>
      <c r="F48" s="343"/>
    </row>
    <row r="49" spans="1:6" x14ac:dyDescent="0.25">
      <c r="A49" s="343"/>
      <c r="B49" s="343"/>
      <c r="C49" s="343"/>
      <c r="D49" s="343"/>
      <c r="E49" s="343"/>
      <c r="F49" s="343"/>
    </row>
    <row r="50" spans="1:6" x14ac:dyDescent="0.25">
      <c r="A50" s="343"/>
      <c r="B50" s="343"/>
      <c r="C50" s="343"/>
      <c r="D50" s="343"/>
      <c r="E50" s="343"/>
      <c r="F50" s="343"/>
    </row>
    <row r="51" spans="1:6" x14ac:dyDescent="0.25">
      <c r="A51" s="343"/>
      <c r="B51" s="343"/>
      <c r="C51" s="343"/>
      <c r="D51" s="343"/>
      <c r="E51" s="343"/>
      <c r="F51" s="343"/>
    </row>
    <row r="52" spans="1:6" x14ac:dyDescent="0.25">
      <c r="A52" s="343"/>
      <c r="B52" s="343"/>
      <c r="C52" s="343"/>
      <c r="D52" s="343"/>
      <c r="E52" s="343"/>
      <c r="F52" s="343"/>
    </row>
    <row r="53" spans="1:6" x14ac:dyDescent="0.25">
      <c r="A53" s="343"/>
      <c r="B53" s="343"/>
      <c r="C53" s="343"/>
      <c r="D53" s="343"/>
      <c r="E53" s="343"/>
      <c r="F53" s="343"/>
    </row>
    <row r="54" spans="1:6" x14ac:dyDescent="0.25">
      <c r="A54" s="343"/>
      <c r="B54" s="343"/>
      <c r="C54" s="343"/>
      <c r="D54" s="343"/>
      <c r="E54" s="343"/>
      <c r="F54" s="343"/>
    </row>
    <row r="55" spans="1:6" x14ac:dyDescent="0.25">
      <c r="A55" s="343"/>
      <c r="B55" s="343"/>
      <c r="C55" s="343"/>
      <c r="D55" s="343"/>
      <c r="E55" s="343"/>
      <c r="F55" s="343"/>
    </row>
    <row r="56" spans="1:6" x14ac:dyDescent="0.25">
      <c r="A56" s="343"/>
      <c r="B56" s="343"/>
      <c r="C56" s="343"/>
      <c r="D56" s="343"/>
      <c r="E56" s="343"/>
      <c r="F56" s="343"/>
    </row>
    <row r="57" spans="1:6" x14ac:dyDescent="0.25">
      <c r="A57" s="343"/>
      <c r="B57" s="343"/>
      <c r="C57" s="343"/>
      <c r="D57" s="343"/>
      <c r="E57" s="343"/>
      <c r="F57" s="343"/>
    </row>
    <row r="58" spans="1:6" x14ac:dyDescent="0.25">
      <c r="A58" s="343"/>
      <c r="B58" s="343"/>
      <c r="C58" s="343"/>
      <c r="D58" s="343"/>
      <c r="E58" s="343"/>
      <c r="F58" s="343"/>
    </row>
    <row r="59" spans="1:6" x14ac:dyDescent="0.25">
      <c r="A59" s="343"/>
      <c r="B59" s="343"/>
      <c r="C59" s="343"/>
      <c r="D59" s="343"/>
      <c r="E59" s="343"/>
      <c r="F59" s="343"/>
    </row>
    <row r="60" spans="1:6" x14ac:dyDescent="0.25">
      <c r="A60" s="343"/>
      <c r="B60" s="343"/>
      <c r="C60" s="343"/>
      <c r="D60" s="343"/>
      <c r="E60" s="343"/>
      <c r="F60" s="343"/>
    </row>
    <row r="61" spans="1:6" x14ac:dyDescent="0.25">
      <c r="A61" s="343"/>
      <c r="B61" s="343"/>
      <c r="C61" s="343"/>
      <c r="D61" s="343"/>
      <c r="E61" s="343"/>
      <c r="F61" s="343"/>
    </row>
    <row r="62" spans="1:6" x14ac:dyDescent="0.25">
      <c r="A62" s="343"/>
      <c r="B62" s="343"/>
      <c r="C62" s="343"/>
      <c r="D62" s="343"/>
      <c r="E62" s="343"/>
      <c r="F62" s="343"/>
    </row>
    <row r="63" spans="1:6" x14ac:dyDescent="0.25">
      <c r="A63" s="343"/>
      <c r="B63" s="343"/>
      <c r="C63" s="343"/>
      <c r="D63" s="343"/>
      <c r="E63" s="343"/>
      <c r="F63" s="343"/>
    </row>
    <row r="64" spans="1:6" x14ac:dyDescent="0.25">
      <c r="A64" s="343"/>
      <c r="B64" s="343"/>
      <c r="C64" s="343"/>
      <c r="D64" s="343"/>
      <c r="E64" s="343"/>
      <c r="F64" s="343"/>
    </row>
    <row r="65" spans="1:6" x14ac:dyDescent="0.25">
      <c r="A65" s="343"/>
      <c r="B65" s="343"/>
      <c r="C65" s="343"/>
      <c r="D65" s="343"/>
      <c r="E65" s="343"/>
      <c r="F65" s="343"/>
    </row>
    <row r="66" spans="1:6" x14ac:dyDescent="0.25">
      <c r="A66" s="343"/>
      <c r="B66" s="343"/>
      <c r="C66" s="343"/>
      <c r="D66" s="343"/>
      <c r="E66" s="343"/>
      <c r="F66" s="343"/>
    </row>
    <row r="67" spans="1:6" x14ac:dyDescent="0.25">
      <c r="A67" s="343"/>
      <c r="B67" s="343"/>
      <c r="C67" s="343"/>
      <c r="D67" s="343"/>
      <c r="E67" s="343"/>
      <c r="F67" s="343"/>
    </row>
    <row r="68" spans="1:6" x14ac:dyDescent="0.25">
      <c r="A68" s="343"/>
      <c r="B68" s="343"/>
      <c r="C68" s="343"/>
      <c r="D68" s="343"/>
      <c r="E68" s="343"/>
      <c r="F68" s="343"/>
    </row>
    <row r="69" spans="1:6" x14ac:dyDescent="0.25">
      <c r="A69" s="343"/>
      <c r="B69" s="343"/>
      <c r="C69" s="343"/>
      <c r="D69" s="343"/>
      <c r="E69" s="343"/>
      <c r="F69" s="343"/>
    </row>
    <row r="70" spans="1:6" x14ac:dyDescent="0.25">
      <c r="A70" s="343"/>
      <c r="B70" s="343"/>
      <c r="C70" s="343"/>
      <c r="D70" s="343"/>
      <c r="E70" s="343"/>
      <c r="F70" s="343"/>
    </row>
    <row r="71" spans="1:6" x14ac:dyDescent="0.25">
      <c r="A71" s="343"/>
      <c r="B71" s="343"/>
      <c r="C71" s="343"/>
      <c r="D71" s="343"/>
      <c r="E71" s="343"/>
      <c r="F71" s="343"/>
    </row>
    <row r="72" spans="1:6" x14ac:dyDescent="0.25">
      <c r="A72" s="343"/>
      <c r="B72" s="343"/>
      <c r="C72" s="343"/>
      <c r="D72" s="343"/>
      <c r="E72" s="343"/>
      <c r="F72" s="343"/>
    </row>
    <row r="73" spans="1:6" x14ac:dyDescent="0.25">
      <c r="A73" s="343"/>
      <c r="B73" s="343"/>
      <c r="C73" s="343"/>
      <c r="D73" s="343"/>
      <c r="E73" s="343"/>
      <c r="F73" s="343"/>
    </row>
    <row r="74" spans="1:6" x14ac:dyDescent="0.25">
      <c r="A74" s="343"/>
      <c r="B74" s="343"/>
      <c r="C74" s="343"/>
      <c r="D74" s="343"/>
      <c r="E74" s="343"/>
      <c r="F74" s="343"/>
    </row>
    <row r="75" spans="1:6" x14ac:dyDescent="0.25">
      <c r="A75" s="343"/>
      <c r="B75" s="343"/>
      <c r="C75" s="343"/>
      <c r="D75" s="343"/>
      <c r="E75" s="343"/>
      <c r="F75" s="343"/>
    </row>
    <row r="76" spans="1:6" x14ac:dyDescent="0.25">
      <c r="A76" s="343"/>
      <c r="B76" s="343"/>
      <c r="C76" s="343"/>
      <c r="D76" s="343"/>
      <c r="E76" s="343"/>
      <c r="F76" s="343"/>
    </row>
    <row r="77" spans="1:6" x14ac:dyDescent="0.25">
      <c r="A77" s="343"/>
      <c r="B77" s="343"/>
      <c r="C77" s="343"/>
      <c r="D77" s="343"/>
      <c r="E77" s="343"/>
      <c r="F77" s="343"/>
    </row>
    <row r="78" spans="1:6" x14ac:dyDescent="0.25">
      <c r="A78" s="343"/>
      <c r="B78" s="343"/>
      <c r="C78" s="343"/>
      <c r="D78" s="343"/>
      <c r="E78" s="343"/>
      <c r="F78" s="343"/>
    </row>
    <row r="79" spans="1:6" x14ac:dyDescent="0.25">
      <c r="A79" s="343"/>
      <c r="B79" s="343"/>
      <c r="C79" s="343"/>
      <c r="D79" s="343"/>
      <c r="E79" s="343"/>
      <c r="F79" s="343"/>
    </row>
    <row r="80" spans="1:6" x14ac:dyDescent="0.25">
      <c r="A80" s="343"/>
      <c r="B80" s="343"/>
      <c r="C80" s="343"/>
      <c r="D80" s="343"/>
      <c r="E80" s="343"/>
      <c r="F80" s="343"/>
    </row>
    <row r="81" spans="1:6" x14ac:dyDescent="0.25">
      <c r="A81" s="343"/>
      <c r="B81" s="343"/>
      <c r="C81" s="343"/>
      <c r="D81" s="343"/>
      <c r="E81" s="343"/>
      <c r="F81" s="343"/>
    </row>
    <row r="82" spans="1:6" x14ac:dyDescent="0.25">
      <c r="A82" s="343"/>
      <c r="B82" s="343"/>
      <c r="C82" s="343"/>
      <c r="D82" s="343"/>
      <c r="E82" s="343"/>
      <c r="F82" s="343"/>
    </row>
    <row r="83" spans="1:6" x14ac:dyDescent="0.25">
      <c r="A83" s="343"/>
      <c r="B83" s="343"/>
      <c r="C83" s="343"/>
      <c r="D83" s="343"/>
      <c r="E83" s="343"/>
      <c r="F83" s="343"/>
    </row>
    <row r="84" spans="1:6" x14ac:dyDescent="0.25">
      <c r="A84" s="343"/>
      <c r="B84" s="343"/>
      <c r="C84" s="343"/>
      <c r="D84" s="343"/>
      <c r="E84" s="343"/>
      <c r="F84" s="343"/>
    </row>
    <row r="85" spans="1:6" x14ac:dyDescent="0.25">
      <c r="A85" s="343"/>
      <c r="B85" s="343"/>
      <c r="C85" s="343"/>
      <c r="D85" s="343"/>
      <c r="E85" s="343"/>
      <c r="F85" s="343"/>
    </row>
    <row r="86" spans="1:6" x14ac:dyDescent="0.25">
      <c r="A86" s="343"/>
      <c r="B86" s="343"/>
      <c r="C86" s="343"/>
      <c r="D86" s="343"/>
      <c r="E86" s="343"/>
      <c r="F86" s="343"/>
    </row>
    <row r="87" spans="1:6" x14ac:dyDescent="0.25">
      <c r="A87" s="343"/>
      <c r="B87" s="343"/>
      <c r="C87" s="343"/>
      <c r="D87" s="343"/>
      <c r="E87" s="343"/>
      <c r="F87" s="343"/>
    </row>
    <row r="88" spans="1:6" x14ac:dyDescent="0.25">
      <c r="A88" s="343"/>
      <c r="B88" s="343"/>
      <c r="C88" s="343"/>
      <c r="D88" s="343"/>
      <c r="E88" s="343"/>
      <c r="F88" s="343"/>
    </row>
    <row r="89" spans="1:6" x14ac:dyDescent="0.25">
      <c r="A89" s="343"/>
      <c r="B89" s="343"/>
      <c r="C89" s="343"/>
      <c r="D89" s="343"/>
      <c r="E89" s="343"/>
      <c r="F89" s="343"/>
    </row>
    <row r="90" spans="1:6" x14ac:dyDescent="0.25">
      <c r="A90" s="343"/>
      <c r="B90" s="343"/>
      <c r="C90" s="343"/>
      <c r="D90" s="343"/>
      <c r="E90" s="343"/>
      <c r="F90" s="343"/>
    </row>
    <row r="91" spans="1:6" x14ac:dyDescent="0.25">
      <c r="A91" s="343"/>
      <c r="B91" s="343"/>
      <c r="C91" s="343"/>
      <c r="D91" s="343"/>
      <c r="E91" s="343"/>
      <c r="F91" s="343"/>
    </row>
    <row r="92" spans="1:6" x14ac:dyDescent="0.25">
      <c r="A92" s="343"/>
      <c r="B92" s="343"/>
      <c r="C92" s="343"/>
      <c r="D92" s="343"/>
      <c r="E92" s="343"/>
      <c r="F92" s="343"/>
    </row>
    <row r="93" spans="1:6" x14ac:dyDescent="0.25">
      <c r="A93" s="343"/>
      <c r="B93" s="343"/>
      <c r="C93" s="343"/>
      <c r="D93" s="343"/>
      <c r="E93" s="343"/>
      <c r="F93" s="343"/>
    </row>
    <row r="94" spans="1:6" x14ac:dyDescent="0.25">
      <c r="A94" s="343"/>
      <c r="B94" s="343"/>
      <c r="C94" s="343"/>
      <c r="D94" s="343"/>
      <c r="E94" s="343"/>
      <c r="F94" s="343"/>
    </row>
    <row r="95" spans="1:6" x14ac:dyDescent="0.25">
      <c r="A95" s="343"/>
      <c r="B95" s="343"/>
      <c r="C95" s="343"/>
      <c r="D95" s="343"/>
      <c r="E95" s="343"/>
      <c r="F95" s="343"/>
    </row>
    <row r="96" spans="1:6" x14ac:dyDescent="0.25">
      <c r="A96" s="343"/>
      <c r="B96" s="343"/>
      <c r="C96" s="343"/>
      <c r="D96" s="343"/>
      <c r="E96" s="343"/>
      <c r="F96" s="343"/>
    </row>
    <row r="97" spans="1:6" x14ac:dyDescent="0.25">
      <c r="A97" s="343"/>
      <c r="B97" s="343"/>
      <c r="C97" s="343"/>
      <c r="D97" s="343"/>
      <c r="E97" s="343"/>
      <c r="F97" s="343"/>
    </row>
    <row r="98" spans="1:6" x14ac:dyDescent="0.25">
      <c r="A98" s="343"/>
      <c r="B98" s="343"/>
      <c r="C98" s="343"/>
      <c r="D98" s="343"/>
      <c r="E98" s="343"/>
      <c r="F98" s="343"/>
    </row>
    <row r="99" spans="1:6" x14ac:dyDescent="0.25">
      <c r="A99" s="343"/>
      <c r="B99" s="343"/>
      <c r="C99" s="343"/>
      <c r="D99" s="343"/>
      <c r="E99" s="343"/>
      <c r="F99" s="343"/>
    </row>
    <row r="100" spans="1:6" x14ac:dyDescent="0.25">
      <c r="A100" s="343"/>
      <c r="B100" s="343"/>
      <c r="C100" s="343"/>
      <c r="D100" s="343"/>
      <c r="E100" s="343"/>
      <c r="F100" s="343"/>
    </row>
    <row r="101" spans="1:6" x14ac:dyDescent="0.25">
      <c r="A101" s="343"/>
      <c r="B101" s="343"/>
      <c r="C101" s="343"/>
      <c r="D101" s="343"/>
      <c r="E101" s="343"/>
      <c r="F101" s="343"/>
    </row>
    <row r="102" spans="1:6" x14ac:dyDescent="0.25">
      <c r="A102" s="343"/>
      <c r="B102" s="343"/>
      <c r="C102" s="343"/>
      <c r="D102" s="343"/>
      <c r="E102" s="343"/>
      <c r="F102" s="343"/>
    </row>
    <row r="103" spans="1:6" x14ac:dyDescent="0.25">
      <c r="A103" s="343"/>
      <c r="B103" s="343"/>
      <c r="C103" s="343"/>
      <c r="D103" s="343"/>
      <c r="E103" s="343"/>
      <c r="F103" s="343"/>
    </row>
    <row r="104" spans="1:6" x14ac:dyDescent="0.25">
      <c r="A104" s="343"/>
      <c r="B104" s="343"/>
      <c r="C104" s="343"/>
      <c r="D104" s="343"/>
      <c r="E104" s="343"/>
      <c r="F104" s="343"/>
    </row>
    <row r="105" spans="1:6" x14ac:dyDescent="0.25">
      <c r="A105" s="343"/>
      <c r="B105" s="343"/>
      <c r="C105" s="343"/>
      <c r="D105" s="343"/>
      <c r="E105" s="343"/>
      <c r="F105" s="343"/>
    </row>
    <row r="106" spans="1:6" x14ac:dyDescent="0.25">
      <c r="A106" s="343"/>
      <c r="B106" s="343"/>
      <c r="C106" s="343"/>
      <c r="D106" s="343"/>
      <c r="E106" s="343"/>
      <c r="F106" s="343"/>
    </row>
    <row r="107" spans="1:6" x14ac:dyDescent="0.25">
      <c r="A107" s="343"/>
      <c r="B107" s="343"/>
      <c r="C107" s="343"/>
      <c r="D107" s="343"/>
      <c r="E107" s="343"/>
      <c r="F107" s="343"/>
    </row>
    <row r="108" spans="1:6" x14ac:dyDescent="0.25">
      <c r="A108" s="343"/>
      <c r="B108" s="343"/>
      <c r="C108" s="343"/>
      <c r="D108" s="343"/>
      <c r="E108" s="343"/>
      <c r="F108" s="343"/>
    </row>
    <row r="109" spans="1:6" x14ac:dyDescent="0.25">
      <c r="A109" s="343"/>
      <c r="B109" s="343"/>
      <c r="C109" s="343"/>
      <c r="D109" s="343"/>
      <c r="E109" s="343"/>
      <c r="F109" s="343"/>
    </row>
    <row r="110" spans="1:6" x14ac:dyDescent="0.25">
      <c r="A110" s="343"/>
      <c r="B110" s="343"/>
      <c r="C110" s="343"/>
      <c r="D110" s="343"/>
      <c r="E110" s="343"/>
      <c r="F110" s="343"/>
    </row>
    <row r="111" spans="1:6" x14ac:dyDescent="0.25">
      <c r="A111" s="343"/>
      <c r="B111" s="343"/>
      <c r="C111" s="343"/>
      <c r="D111" s="343"/>
      <c r="E111" s="343"/>
      <c r="F111" s="343"/>
    </row>
    <row r="112" spans="1:6" x14ac:dyDescent="0.25">
      <c r="A112" s="343"/>
      <c r="B112" s="343"/>
      <c r="C112" s="343"/>
      <c r="D112" s="343"/>
      <c r="E112" s="343"/>
      <c r="F112" s="343"/>
    </row>
    <row r="113" spans="1:6" x14ac:dyDescent="0.25">
      <c r="A113" s="343"/>
      <c r="B113" s="343"/>
      <c r="C113" s="343"/>
      <c r="D113" s="343"/>
      <c r="E113" s="343"/>
      <c r="F113" s="343"/>
    </row>
    <row r="114" spans="1:6" x14ac:dyDescent="0.25">
      <c r="A114" s="343"/>
      <c r="B114" s="343"/>
      <c r="C114" s="343"/>
      <c r="D114" s="343"/>
      <c r="E114" s="343"/>
      <c r="F114" s="343"/>
    </row>
    <row r="115" spans="1:6" x14ac:dyDescent="0.25">
      <c r="A115" s="343"/>
      <c r="B115" s="343"/>
      <c r="C115" s="343"/>
      <c r="D115" s="343"/>
      <c r="E115" s="343"/>
      <c r="F115" s="343"/>
    </row>
    <row r="116" spans="1:6" x14ac:dyDescent="0.25">
      <c r="A116" s="343"/>
      <c r="B116" s="343"/>
      <c r="C116" s="343"/>
      <c r="D116" s="343"/>
      <c r="E116" s="343"/>
      <c r="F116" s="343"/>
    </row>
    <row r="117" spans="1:6" x14ac:dyDescent="0.25">
      <c r="A117" s="343"/>
      <c r="B117" s="343"/>
      <c r="C117" s="343"/>
      <c r="D117" s="343"/>
      <c r="E117" s="343"/>
      <c r="F117" s="343"/>
    </row>
    <row r="118" spans="1:6" x14ac:dyDescent="0.25">
      <c r="A118" s="343"/>
      <c r="B118" s="343"/>
      <c r="C118" s="343"/>
      <c r="D118" s="343"/>
      <c r="E118" s="343"/>
      <c r="F118" s="343"/>
    </row>
    <row r="119" spans="1:6" x14ac:dyDescent="0.25">
      <c r="A119" s="343"/>
      <c r="B119" s="343"/>
      <c r="C119" s="343"/>
      <c r="D119" s="343"/>
      <c r="E119" s="343"/>
      <c r="F119" s="343"/>
    </row>
    <row r="120" spans="1:6" x14ac:dyDescent="0.25">
      <c r="A120" s="343"/>
      <c r="B120" s="343"/>
      <c r="C120" s="343"/>
      <c r="D120" s="343"/>
      <c r="E120" s="343"/>
      <c r="F120" s="343"/>
    </row>
    <row r="121" spans="1:6" x14ac:dyDescent="0.25">
      <c r="A121" s="343"/>
      <c r="B121" s="343"/>
      <c r="C121" s="343"/>
      <c r="D121" s="343"/>
      <c r="E121" s="343"/>
      <c r="F121" s="343"/>
    </row>
    <row r="122" spans="1:6" x14ac:dyDescent="0.25">
      <c r="A122" s="343"/>
      <c r="B122" s="343"/>
      <c r="C122" s="343"/>
      <c r="D122" s="343"/>
      <c r="E122" s="343"/>
      <c r="F122" s="343"/>
    </row>
    <row r="123" spans="1:6" x14ac:dyDescent="0.25">
      <c r="A123" s="343"/>
      <c r="B123" s="343"/>
      <c r="C123" s="343"/>
      <c r="D123" s="343"/>
      <c r="E123" s="343"/>
      <c r="F123" s="343"/>
    </row>
    <row r="124" spans="1:6" x14ac:dyDescent="0.25">
      <c r="A124" s="343"/>
      <c r="B124" s="343"/>
      <c r="C124" s="343"/>
      <c r="D124" s="343"/>
      <c r="E124" s="343"/>
      <c r="F124" s="343"/>
    </row>
    <row r="125" spans="1:6" x14ac:dyDescent="0.25">
      <c r="A125" s="343"/>
      <c r="B125" s="343"/>
      <c r="C125" s="343"/>
      <c r="D125" s="343"/>
      <c r="E125" s="343"/>
      <c r="F125" s="343"/>
    </row>
    <row r="126" spans="1:6" x14ac:dyDescent="0.25">
      <c r="A126" s="343"/>
      <c r="B126" s="343"/>
      <c r="C126" s="343"/>
      <c r="D126" s="343"/>
      <c r="E126" s="343"/>
      <c r="F126" s="343"/>
    </row>
    <row r="127" spans="1:6" x14ac:dyDescent="0.25">
      <c r="A127" s="343"/>
      <c r="B127" s="343"/>
      <c r="C127" s="343"/>
      <c r="D127" s="343"/>
      <c r="E127" s="343"/>
      <c r="F127" s="343"/>
    </row>
    <row r="128" spans="1:6" x14ac:dyDescent="0.25">
      <c r="A128" s="343"/>
      <c r="B128" s="343"/>
      <c r="C128" s="343"/>
      <c r="D128" s="343"/>
      <c r="E128" s="343"/>
      <c r="F128" s="343"/>
    </row>
    <row r="129" spans="1:6" x14ac:dyDescent="0.25">
      <c r="A129" s="343"/>
      <c r="B129" s="343"/>
      <c r="C129" s="343"/>
      <c r="D129" s="343"/>
      <c r="E129" s="343"/>
      <c r="F129" s="343"/>
    </row>
    <row r="130" spans="1:6" x14ac:dyDescent="0.25">
      <c r="A130" s="343"/>
      <c r="B130" s="343"/>
      <c r="C130" s="343"/>
      <c r="D130" s="343"/>
      <c r="E130" s="343"/>
      <c r="F130" s="343"/>
    </row>
    <row r="131" spans="1:6" x14ac:dyDescent="0.25">
      <c r="A131" s="343"/>
      <c r="B131" s="343"/>
      <c r="C131" s="343"/>
      <c r="D131" s="343"/>
      <c r="E131" s="343"/>
      <c r="F131" s="343"/>
    </row>
    <row r="132" spans="1:6" x14ac:dyDescent="0.25">
      <c r="A132" s="343"/>
      <c r="B132" s="343"/>
      <c r="C132" s="343"/>
      <c r="D132" s="343"/>
      <c r="E132" s="343"/>
      <c r="F132" s="343"/>
    </row>
    <row r="133" spans="1:6" x14ac:dyDescent="0.25">
      <c r="A133" s="343"/>
      <c r="B133" s="343"/>
      <c r="C133" s="343"/>
      <c r="D133" s="343"/>
      <c r="E133" s="343"/>
      <c r="F133" s="343"/>
    </row>
    <row r="134" spans="1:6" x14ac:dyDescent="0.25">
      <c r="A134" s="343"/>
      <c r="B134" s="343"/>
      <c r="C134" s="343"/>
      <c r="D134" s="343"/>
      <c r="E134" s="343"/>
      <c r="F134" s="343"/>
    </row>
    <row r="135" spans="1:6" x14ac:dyDescent="0.25">
      <c r="A135" s="343"/>
      <c r="B135" s="343"/>
      <c r="C135" s="343"/>
      <c r="D135" s="343"/>
      <c r="E135" s="343"/>
      <c r="F135" s="343"/>
    </row>
    <row r="136" spans="1:6" x14ac:dyDescent="0.25">
      <c r="A136" s="343"/>
      <c r="B136" s="343"/>
      <c r="C136" s="343"/>
      <c r="D136" s="343"/>
      <c r="E136" s="343"/>
      <c r="F136" s="343"/>
    </row>
    <row r="137" spans="1:6" x14ac:dyDescent="0.25">
      <c r="A137" s="343"/>
      <c r="B137" s="343"/>
      <c r="C137" s="343"/>
      <c r="D137" s="343"/>
      <c r="E137" s="343"/>
      <c r="F137" s="343"/>
    </row>
    <row r="138" spans="1:6" x14ac:dyDescent="0.25">
      <c r="A138" s="343"/>
      <c r="B138" s="343"/>
      <c r="C138" s="343"/>
      <c r="D138" s="343"/>
      <c r="E138" s="343"/>
      <c r="F138" s="343"/>
    </row>
    <row r="139" spans="1:6" x14ac:dyDescent="0.25">
      <c r="A139" s="343"/>
      <c r="B139" s="343"/>
      <c r="C139" s="343"/>
      <c r="D139" s="343"/>
      <c r="E139" s="343"/>
      <c r="F139" s="343"/>
    </row>
    <row r="140" spans="1:6" x14ac:dyDescent="0.25">
      <c r="A140" s="343"/>
      <c r="B140" s="343"/>
      <c r="C140" s="343"/>
      <c r="D140" s="343"/>
      <c r="E140" s="343"/>
      <c r="F140" s="343"/>
    </row>
    <row r="141" spans="1:6" x14ac:dyDescent="0.25">
      <c r="A141" s="343"/>
      <c r="B141" s="343"/>
      <c r="C141" s="343"/>
      <c r="D141" s="343"/>
      <c r="E141" s="343"/>
      <c r="F141" s="343"/>
    </row>
    <row r="142" spans="1:6" x14ac:dyDescent="0.25">
      <c r="A142" s="343"/>
      <c r="B142" s="343"/>
      <c r="C142" s="343"/>
      <c r="D142" s="343"/>
      <c r="E142" s="343"/>
      <c r="F142" s="343"/>
    </row>
    <row r="143" spans="1:6" x14ac:dyDescent="0.25">
      <c r="A143" s="343"/>
      <c r="B143" s="343"/>
      <c r="C143" s="343"/>
      <c r="D143" s="343"/>
      <c r="E143" s="343"/>
      <c r="F143" s="343"/>
    </row>
    <row r="144" spans="1:6" x14ac:dyDescent="0.25">
      <c r="A144" s="343"/>
      <c r="B144" s="343"/>
      <c r="C144" s="343"/>
      <c r="D144" s="343"/>
      <c r="E144" s="343"/>
      <c r="F144" s="343"/>
    </row>
    <row r="145" spans="1:6" x14ac:dyDescent="0.25">
      <c r="A145" s="343"/>
      <c r="B145" s="343"/>
      <c r="C145" s="343"/>
      <c r="D145" s="343"/>
      <c r="E145" s="343"/>
      <c r="F145" s="343"/>
    </row>
    <row r="146" spans="1:6" x14ac:dyDescent="0.25">
      <c r="A146" s="343"/>
      <c r="B146" s="343"/>
      <c r="C146" s="343"/>
      <c r="D146" s="343"/>
      <c r="E146" s="343"/>
      <c r="F146" s="343"/>
    </row>
    <row r="147" spans="1:6" x14ac:dyDescent="0.25">
      <c r="A147" s="343"/>
      <c r="B147" s="343"/>
      <c r="C147" s="343"/>
      <c r="D147" s="343"/>
      <c r="E147" s="343"/>
      <c r="F147" s="343"/>
    </row>
    <row r="148" spans="1:6" x14ac:dyDescent="0.25">
      <c r="A148" s="343"/>
      <c r="B148" s="343"/>
      <c r="C148" s="343"/>
      <c r="D148" s="343"/>
      <c r="E148" s="343"/>
      <c r="F148" s="343"/>
    </row>
    <row r="149" spans="1:6" x14ac:dyDescent="0.25">
      <c r="A149" s="343"/>
      <c r="B149" s="343"/>
      <c r="C149" s="343"/>
      <c r="D149" s="343"/>
      <c r="E149" s="343"/>
      <c r="F149" s="343"/>
    </row>
    <row r="150" spans="1:6" x14ac:dyDescent="0.25">
      <c r="A150" s="343"/>
      <c r="B150" s="343"/>
      <c r="C150" s="343"/>
      <c r="D150" s="343"/>
      <c r="E150" s="343"/>
      <c r="F150" s="343"/>
    </row>
    <row r="151" spans="1:6" x14ac:dyDescent="0.25">
      <c r="A151" s="343"/>
      <c r="B151" s="343"/>
      <c r="C151" s="343"/>
      <c r="D151" s="343"/>
      <c r="E151" s="343"/>
      <c r="F151" s="343"/>
    </row>
    <row r="152" spans="1:6" x14ac:dyDescent="0.25">
      <c r="A152" s="343"/>
      <c r="B152" s="343"/>
      <c r="C152" s="343"/>
      <c r="D152" s="343"/>
      <c r="E152" s="343"/>
      <c r="F152" s="343"/>
    </row>
    <row r="153" spans="1:6" x14ac:dyDescent="0.25">
      <c r="A153" s="343"/>
      <c r="B153" s="343"/>
      <c r="C153" s="343"/>
      <c r="D153" s="343"/>
      <c r="E153" s="343"/>
      <c r="F153" s="343"/>
    </row>
    <row r="154" spans="1:6" x14ac:dyDescent="0.25">
      <c r="A154" s="343"/>
      <c r="B154" s="343"/>
      <c r="C154" s="343"/>
      <c r="D154" s="343"/>
      <c r="E154" s="343"/>
      <c r="F154" s="343"/>
    </row>
    <row r="155" spans="1:6" x14ac:dyDescent="0.25">
      <c r="A155" s="343"/>
      <c r="B155" s="343"/>
      <c r="C155" s="343"/>
      <c r="D155" s="343"/>
      <c r="E155" s="343"/>
      <c r="F155" s="343"/>
    </row>
    <row r="156" spans="1:6" x14ac:dyDescent="0.25">
      <c r="A156" s="343"/>
      <c r="B156" s="343"/>
      <c r="C156" s="343"/>
      <c r="D156" s="343"/>
      <c r="E156" s="343"/>
      <c r="F156" s="343"/>
    </row>
    <row r="157" spans="1:6" x14ac:dyDescent="0.25">
      <c r="A157" s="343"/>
      <c r="B157" s="343"/>
      <c r="C157" s="343"/>
      <c r="D157" s="343"/>
      <c r="E157" s="343"/>
      <c r="F157" s="343"/>
    </row>
    <row r="158" spans="1:6" x14ac:dyDescent="0.25">
      <c r="A158" s="343"/>
      <c r="B158" s="343"/>
      <c r="C158" s="343"/>
      <c r="D158" s="343"/>
      <c r="E158" s="343"/>
      <c r="F158" s="343"/>
    </row>
    <row r="159" spans="1:6" x14ac:dyDescent="0.25">
      <c r="A159" s="343"/>
      <c r="B159" s="343"/>
      <c r="C159" s="343"/>
      <c r="D159" s="343"/>
      <c r="E159" s="343"/>
      <c r="F159" s="343"/>
    </row>
    <row r="160" spans="1:6" x14ac:dyDescent="0.25">
      <c r="A160" s="343"/>
      <c r="B160" s="343"/>
      <c r="C160" s="343"/>
      <c r="D160" s="343"/>
      <c r="E160" s="343"/>
      <c r="F160" s="343"/>
    </row>
    <row r="161" spans="1:6" x14ac:dyDescent="0.25">
      <c r="A161" s="343"/>
      <c r="B161" s="343"/>
      <c r="C161" s="343"/>
      <c r="D161" s="343"/>
      <c r="E161" s="343"/>
      <c r="F161" s="343"/>
    </row>
    <row r="162" spans="1:6" x14ac:dyDescent="0.25">
      <c r="A162" s="343"/>
      <c r="B162" s="343"/>
      <c r="C162" s="343"/>
      <c r="D162" s="343"/>
      <c r="E162" s="343"/>
      <c r="F162" s="343"/>
    </row>
    <row r="163" spans="1:6" x14ac:dyDescent="0.25">
      <c r="A163" s="343"/>
      <c r="B163" s="343"/>
      <c r="C163" s="343"/>
      <c r="D163" s="343"/>
      <c r="E163" s="343"/>
      <c r="F163" s="343"/>
    </row>
    <row r="164" spans="1:6" x14ac:dyDescent="0.25">
      <c r="A164" s="343"/>
      <c r="B164" s="343"/>
      <c r="C164" s="343"/>
      <c r="D164" s="343"/>
      <c r="E164" s="343"/>
      <c r="F164" s="343"/>
    </row>
    <row r="165" spans="1:6" x14ac:dyDescent="0.25">
      <c r="A165" s="343"/>
      <c r="B165" s="343"/>
      <c r="C165" s="343"/>
      <c r="D165" s="343"/>
      <c r="E165" s="343"/>
      <c r="F165" s="343"/>
    </row>
    <row r="166" spans="1:6" x14ac:dyDescent="0.25">
      <c r="A166" s="343"/>
      <c r="B166" s="343"/>
      <c r="C166" s="343"/>
      <c r="D166" s="343"/>
      <c r="E166" s="343"/>
      <c r="F166" s="343"/>
    </row>
    <row r="167" spans="1:6" x14ac:dyDescent="0.25">
      <c r="A167" s="343"/>
      <c r="B167" s="343"/>
      <c r="C167" s="343"/>
      <c r="D167" s="343"/>
      <c r="E167" s="343"/>
      <c r="F167" s="343"/>
    </row>
    <row r="168" spans="1:6" x14ac:dyDescent="0.25">
      <c r="A168" s="343"/>
      <c r="B168" s="343"/>
      <c r="C168" s="343"/>
      <c r="D168" s="343"/>
      <c r="E168" s="343"/>
      <c r="F168" s="343"/>
    </row>
    <row r="169" spans="1:6" x14ac:dyDescent="0.25">
      <c r="A169" s="343"/>
      <c r="B169" s="343"/>
      <c r="C169" s="343"/>
      <c r="D169" s="343"/>
      <c r="E169" s="343"/>
      <c r="F169" s="343"/>
    </row>
    <row r="170" spans="1:6" x14ac:dyDescent="0.25">
      <c r="A170" s="343"/>
      <c r="B170" s="343"/>
      <c r="C170" s="343"/>
      <c r="D170" s="343"/>
      <c r="E170" s="343"/>
      <c r="F170" s="343"/>
    </row>
    <row r="171" spans="1:6" x14ac:dyDescent="0.25">
      <c r="A171" s="343"/>
      <c r="B171" s="343"/>
      <c r="C171" s="343"/>
      <c r="D171" s="343"/>
      <c r="E171" s="343"/>
      <c r="F171" s="343"/>
    </row>
    <row r="172" spans="1:6" x14ac:dyDescent="0.25">
      <c r="A172" s="343"/>
      <c r="B172" s="343"/>
      <c r="C172" s="343"/>
      <c r="D172" s="343"/>
      <c r="E172" s="343"/>
      <c r="F172" s="343"/>
    </row>
    <row r="173" spans="1:6" x14ac:dyDescent="0.25">
      <c r="A173" s="343"/>
      <c r="B173" s="343"/>
      <c r="C173" s="343"/>
      <c r="D173" s="343"/>
      <c r="E173" s="343"/>
      <c r="F173" s="343"/>
    </row>
    <row r="174" spans="1:6" x14ac:dyDescent="0.25">
      <c r="A174" s="343"/>
      <c r="B174" s="343"/>
      <c r="C174" s="343"/>
      <c r="D174" s="343"/>
      <c r="E174" s="343"/>
      <c r="F174" s="343"/>
    </row>
    <row r="175" spans="1:6" x14ac:dyDescent="0.25">
      <c r="A175" s="343"/>
      <c r="B175" s="343"/>
      <c r="C175" s="343"/>
      <c r="D175" s="343"/>
      <c r="E175" s="343"/>
      <c r="F175" s="343"/>
    </row>
    <row r="176" spans="1:6" x14ac:dyDescent="0.25">
      <c r="A176" s="343"/>
      <c r="B176" s="343"/>
      <c r="C176" s="343"/>
      <c r="D176" s="343"/>
      <c r="E176" s="343"/>
      <c r="F176" s="343"/>
    </row>
    <row r="177" spans="1:6" x14ac:dyDescent="0.25">
      <c r="A177" s="343"/>
      <c r="B177" s="343"/>
      <c r="C177" s="343"/>
      <c r="D177" s="343"/>
      <c r="E177" s="343"/>
      <c r="F177" s="343"/>
    </row>
    <row r="178" spans="1:6" x14ac:dyDescent="0.25">
      <c r="A178" s="343"/>
      <c r="B178" s="343"/>
      <c r="C178" s="343"/>
      <c r="D178" s="343"/>
      <c r="E178" s="343"/>
      <c r="F178" s="343"/>
    </row>
    <row r="179" spans="1:6" x14ac:dyDescent="0.25">
      <c r="A179" s="343"/>
      <c r="B179" s="343"/>
      <c r="C179" s="343"/>
      <c r="D179" s="343"/>
      <c r="E179" s="343"/>
      <c r="F179" s="343"/>
    </row>
    <row r="180" spans="1:6" x14ac:dyDescent="0.25">
      <c r="A180" s="343"/>
      <c r="B180" s="343"/>
      <c r="C180" s="343"/>
      <c r="D180" s="343"/>
      <c r="E180" s="343"/>
      <c r="F180" s="343"/>
    </row>
    <row r="181" spans="1:6" x14ac:dyDescent="0.25">
      <c r="A181" s="343"/>
      <c r="B181" s="343"/>
      <c r="C181" s="343"/>
      <c r="D181" s="343"/>
      <c r="E181" s="343"/>
      <c r="F181" s="343"/>
    </row>
    <row r="182" spans="1:6" x14ac:dyDescent="0.25">
      <c r="A182" s="343"/>
      <c r="B182" s="343"/>
      <c r="C182" s="343"/>
      <c r="D182" s="343"/>
      <c r="E182" s="343"/>
      <c r="F182" s="343"/>
    </row>
    <row r="183" spans="1:6" x14ac:dyDescent="0.25">
      <c r="A183" s="343"/>
      <c r="B183" s="343"/>
      <c r="C183" s="343"/>
      <c r="D183" s="343"/>
      <c r="E183" s="343"/>
      <c r="F183" s="343"/>
    </row>
    <row r="184" spans="1:6" x14ac:dyDescent="0.25">
      <c r="A184" s="343"/>
      <c r="B184" s="343"/>
      <c r="C184" s="343"/>
      <c r="D184" s="343"/>
      <c r="E184" s="343"/>
      <c r="F184" s="343"/>
    </row>
    <row r="185" spans="1:6" x14ac:dyDescent="0.25">
      <c r="A185" s="343"/>
      <c r="B185" s="343"/>
      <c r="C185" s="343"/>
      <c r="D185" s="343"/>
      <c r="E185" s="343"/>
      <c r="F185" s="343"/>
    </row>
    <row r="186" spans="1:6" x14ac:dyDescent="0.25">
      <c r="A186" s="343"/>
      <c r="B186" s="343"/>
      <c r="C186" s="343"/>
      <c r="D186" s="343"/>
      <c r="E186" s="343"/>
      <c r="F186" s="343"/>
    </row>
    <row r="187" spans="1:6" x14ac:dyDescent="0.25">
      <c r="A187" s="343"/>
      <c r="B187" s="343"/>
      <c r="C187" s="343"/>
      <c r="D187" s="343"/>
      <c r="E187" s="343"/>
      <c r="F187" s="343"/>
    </row>
    <row r="188" spans="1:6" x14ac:dyDescent="0.25">
      <c r="A188" s="343"/>
      <c r="B188" s="343"/>
      <c r="C188" s="343"/>
      <c r="D188" s="343"/>
      <c r="E188" s="343"/>
      <c r="F188" s="343"/>
    </row>
    <row r="189" spans="1:6" x14ac:dyDescent="0.25">
      <c r="A189" s="343"/>
      <c r="B189" s="343"/>
      <c r="C189" s="343"/>
      <c r="D189" s="343"/>
      <c r="E189" s="343"/>
      <c r="F189" s="343"/>
    </row>
    <row r="190" spans="1:6" x14ac:dyDescent="0.25">
      <c r="A190" s="343"/>
      <c r="B190" s="343"/>
      <c r="C190" s="343"/>
      <c r="D190" s="343"/>
      <c r="E190" s="343"/>
      <c r="F190" s="343"/>
    </row>
    <row r="191" spans="1:6" x14ac:dyDescent="0.25">
      <c r="A191" s="343"/>
      <c r="B191" s="343"/>
      <c r="C191" s="343"/>
      <c r="D191" s="343"/>
      <c r="E191" s="343"/>
      <c r="F191" s="343"/>
    </row>
    <row r="192" spans="1:6" x14ac:dyDescent="0.25">
      <c r="A192" s="343"/>
      <c r="B192" s="343"/>
      <c r="C192" s="343"/>
      <c r="D192" s="343"/>
      <c r="E192" s="343"/>
      <c r="F192" s="343"/>
    </row>
    <row r="193" spans="1:6" x14ac:dyDescent="0.25">
      <c r="A193" s="343"/>
      <c r="B193" s="343"/>
      <c r="C193" s="343"/>
      <c r="D193" s="343"/>
      <c r="E193" s="343"/>
      <c r="F193" s="343"/>
    </row>
    <row r="194" spans="1:6" x14ac:dyDescent="0.25">
      <c r="A194" s="343"/>
      <c r="B194" s="343"/>
      <c r="C194" s="343"/>
      <c r="D194" s="343"/>
      <c r="E194" s="343"/>
      <c r="F194" s="343"/>
    </row>
    <row r="195" spans="1:6" x14ac:dyDescent="0.25">
      <c r="A195" s="343"/>
      <c r="B195" s="343"/>
      <c r="C195" s="343"/>
      <c r="D195" s="343"/>
      <c r="E195" s="343"/>
      <c r="F195" s="343"/>
    </row>
    <row r="196" spans="1:6" x14ac:dyDescent="0.25">
      <c r="A196" s="343"/>
      <c r="B196" s="343"/>
      <c r="C196" s="343"/>
      <c r="D196" s="343"/>
      <c r="E196" s="343"/>
      <c r="F196" s="343"/>
    </row>
    <row r="197" spans="1:6" x14ac:dyDescent="0.25">
      <c r="A197" s="343"/>
      <c r="B197" s="343"/>
      <c r="C197" s="343"/>
      <c r="D197" s="343"/>
      <c r="E197" s="343"/>
      <c r="F197" s="343"/>
    </row>
    <row r="198" spans="1:6" x14ac:dyDescent="0.25">
      <c r="A198" s="343"/>
      <c r="B198" s="343"/>
      <c r="C198" s="343"/>
      <c r="D198" s="343"/>
      <c r="E198" s="343"/>
      <c r="F198" s="343"/>
    </row>
    <row r="199" spans="1:6" x14ac:dyDescent="0.25">
      <c r="A199" s="343"/>
      <c r="B199" s="343"/>
      <c r="C199" s="343"/>
      <c r="D199" s="343"/>
      <c r="E199" s="343"/>
      <c r="F199" s="343"/>
    </row>
    <row r="200" spans="1:6" x14ac:dyDescent="0.25">
      <c r="A200" s="343"/>
      <c r="B200" s="343"/>
      <c r="C200" s="343"/>
      <c r="D200" s="343"/>
      <c r="E200" s="343"/>
      <c r="F200" s="343"/>
    </row>
    <row r="201" spans="1:6" x14ac:dyDescent="0.25">
      <c r="A201" s="343"/>
      <c r="B201" s="343"/>
      <c r="C201" s="343"/>
      <c r="D201" s="343"/>
      <c r="E201" s="343"/>
      <c r="F201" s="343"/>
    </row>
    <row r="202" spans="1:6" x14ac:dyDescent="0.25">
      <c r="A202" s="343"/>
      <c r="B202" s="343"/>
      <c r="C202" s="343"/>
      <c r="D202" s="343"/>
      <c r="E202" s="343"/>
      <c r="F202" s="343"/>
    </row>
    <row r="203" spans="1:6" x14ac:dyDescent="0.25">
      <c r="A203" s="343"/>
      <c r="B203" s="343"/>
      <c r="C203" s="343"/>
      <c r="D203" s="343"/>
      <c r="E203" s="343"/>
      <c r="F203" s="343"/>
    </row>
    <row r="204" spans="1:6" x14ac:dyDescent="0.25">
      <c r="A204" s="343"/>
      <c r="B204" s="343"/>
      <c r="C204" s="343"/>
      <c r="D204" s="343"/>
      <c r="E204" s="343"/>
      <c r="F204" s="343"/>
    </row>
    <row r="205" spans="1:6" x14ac:dyDescent="0.25">
      <c r="A205" s="343"/>
      <c r="B205" s="343"/>
      <c r="C205" s="343"/>
      <c r="D205" s="343"/>
      <c r="E205" s="343"/>
      <c r="F205" s="343"/>
    </row>
    <row r="206" spans="1:6" x14ac:dyDescent="0.25">
      <c r="A206" s="343"/>
      <c r="B206" s="343"/>
      <c r="C206" s="343"/>
      <c r="D206" s="343"/>
      <c r="E206" s="343"/>
      <c r="F206" s="343"/>
    </row>
    <row r="207" spans="1:6" x14ac:dyDescent="0.25">
      <c r="A207" s="343"/>
      <c r="B207" s="343"/>
      <c r="C207" s="343"/>
      <c r="D207" s="343"/>
      <c r="E207" s="343"/>
      <c r="F207" s="343"/>
    </row>
    <row r="208" spans="1:6" x14ac:dyDescent="0.25">
      <c r="A208" s="343"/>
      <c r="B208" s="343"/>
      <c r="C208" s="343"/>
      <c r="D208" s="343"/>
      <c r="E208" s="343"/>
      <c r="F208" s="343"/>
    </row>
    <row r="209" spans="1:6" x14ac:dyDescent="0.25">
      <c r="A209" s="343"/>
      <c r="B209" s="343"/>
      <c r="C209" s="343"/>
      <c r="D209" s="343"/>
      <c r="E209" s="343"/>
      <c r="F209" s="343"/>
    </row>
    <row r="210" spans="1:6" x14ac:dyDescent="0.25">
      <c r="A210" s="343"/>
      <c r="B210" s="343"/>
      <c r="C210" s="343"/>
      <c r="D210" s="343"/>
      <c r="E210" s="343"/>
      <c r="F210" s="343"/>
    </row>
    <row r="211" spans="1:6" x14ac:dyDescent="0.25">
      <c r="A211" s="343"/>
      <c r="B211" s="343"/>
      <c r="C211" s="343"/>
      <c r="D211" s="343"/>
      <c r="E211" s="343"/>
      <c r="F211" s="343"/>
    </row>
    <row r="212" spans="1:6" x14ac:dyDescent="0.25">
      <c r="A212" s="343"/>
      <c r="B212" s="343"/>
      <c r="C212" s="343"/>
      <c r="D212" s="343"/>
      <c r="E212" s="343"/>
      <c r="F212" s="343"/>
    </row>
    <row r="213" spans="1:6" x14ac:dyDescent="0.25">
      <c r="A213" s="343"/>
      <c r="B213" s="343"/>
      <c r="C213" s="343"/>
      <c r="D213" s="343"/>
      <c r="E213" s="343"/>
      <c r="F213" s="343"/>
    </row>
    <row r="214" spans="1:6" x14ac:dyDescent="0.25">
      <c r="A214" s="343"/>
      <c r="B214" s="343"/>
      <c r="C214" s="343"/>
      <c r="D214" s="343"/>
      <c r="E214" s="343"/>
      <c r="F214" s="343"/>
    </row>
    <row r="215" spans="1:6" x14ac:dyDescent="0.25">
      <c r="A215" s="343"/>
      <c r="B215" s="343"/>
      <c r="C215" s="343"/>
      <c r="D215" s="343"/>
      <c r="E215" s="343"/>
      <c r="F215" s="343"/>
    </row>
    <row r="216" spans="1:6" x14ac:dyDescent="0.25">
      <c r="A216" s="343"/>
      <c r="B216" s="343"/>
      <c r="C216" s="343"/>
      <c r="D216" s="343"/>
      <c r="E216" s="343"/>
      <c r="F216" s="343"/>
    </row>
    <row r="217" spans="1:6" x14ac:dyDescent="0.25">
      <c r="A217" s="343"/>
      <c r="B217" s="343"/>
      <c r="C217" s="343"/>
      <c r="D217" s="343"/>
      <c r="E217" s="343"/>
      <c r="F217" s="343"/>
    </row>
    <row r="218" spans="1:6" x14ac:dyDescent="0.25">
      <c r="A218" s="343"/>
      <c r="B218" s="343"/>
      <c r="C218" s="343"/>
      <c r="D218" s="343"/>
      <c r="E218" s="343"/>
      <c r="F218" s="343"/>
    </row>
    <row r="219" spans="1:6" x14ac:dyDescent="0.25">
      <c r="A219" s="343"/>
      <c r="B219" s="343"/>
      <c r="C219" s="343"/>
      <c r="D219" s="343"/>
      <c r="E219" s="343"/>
      <c r="F219" s="343"/>
    </row>
    <row r="220" spans="1:6" x14ac:dyDescent="0.25">
      <c r="A220" s="343"/>
      <c r="B220" s="343"/>
      <c r="C220" s="343"/>
      <c r="D220" s="343"/>
      <c r="E220" s="343"/>
      <c r="F220" s="343"/>
    </row>
    <row r="221" spans="1:6" x14ac:dyDescent="0.25">
      <c r="A221" s="343"/>
      <c r="B221" s="343"/>
      <c r="C221" s="343"/>
      <c r="D221" s="343"/>
      <c r="E221" s="343"/>
      <c r="F221" s="343"/>
    </row>
    <row r="222" spans="1:6" x14ac:dyDescent="0.25">
      <c r="A222" s="343"/>
      <c r="B222" s="343"/>
      <c r="C222" s="343"/>
      <c r="D222" s="343"/>
      <c r="E222" s="343"/>
      <c r="F222" s="343"/>
    </row>
    <row r="223" spans="1:6" x14ac:dyDescent="0.25">
      <c r="A223" s="343"/>
      <c r="B223" s="343"/>
      <c r="C223" s="343"/>
      <c r="D223" s="343"/>
      <c r="E223" s="343"/>
      <c r="F223" s="343"/>
    </row>
    <row r="224" spans="1:6" x14ac:dyDescent="0.25">
      <c r="A224" s="343"/>
      <c r="B224" s="343"/>
      <c r="C224" s="343"/>
      <c r="D224" s="343"/>
      <c r="E224" s="343"/>
      <c r="F224" s="343"/>
    </row>
    <row r="225" spans="1:6" x14ac:dyDescent="0.25">
      <c r="A225" s="343"/>
      <c r="B225" s="343"/>
      <c r="C225" s="343"/>
      <c r="D225" s="343"/>
      <c r="E225" s="343"/>
      <c r="F225" s="343"/>
    </row>
    <row r="226" spans="1:6" x14ac:dyDescent="0.25">
      <c r="A226" s="343"/>
      <c r="B226" s="343"/>
      <c r="C226" s="343"/>
      <c r="D226" s="343"/>
      <c r="E226" s="343"/>
      <c r="F226" s="343"/>
    </row>
    <row r="227" spans="1:6" x14ac:dyDescent="0.25">
      <c r="A227" s="343"/>
      <c r="B227" s="343"/>
      <c r="C227" s="343"/>
      <c r="D227" s="343"/>
      <c r="E227" s="343"/>
      <c r="F227" s="343"/>
    </row>
    <row r="228" spans="1:6" x14ac:dyDescent="0.25">
      <c r="A228" s="343"/>
      <c r="B228" s="343"/>
      <c r="C228" s="343"/>
      <c r="D228" s="343"/>
      <c r="E228" s="343"/>
      <c r="F228" s="343"/>
    </row>
    <row r="229" spans="1:6" x14ac:dyDescent="0.25">
      <c r="A229" s="343"/>
      <c r="B229" s="343"/>
      <c r="C229" s="343"/>
      <c r="D229" s="343"/>
      <c r="E229" s="343"/>
      <c r="F229" s="343"/>
    </row>
    <row r="230" spans="1:6" x14ac:dyDescent="0.25">
      <c r="A230" s="343"/>
      <c r="B230" s="343"/>
      <c r="C230" s="343"/>
      <c r="D230" s="343"/>
      <c r="E230" s="343"/>
      <c r="F230" s="343"/>
    </row>
    <row r="231" spans="1:6" x14ac:dyDescent="0.25">
      <c r="A231" s="343"/>
      <c r="B231" s="343"/>
      <c r="C231" s="343"/>
      <c r="D231" s="343"/>
      <c r="E231" s="343"/>
      <c r="F231" s="343"/>
    </row>
    <row r="232" spans="1:6" x14ac:dyDescent="0.25">
      <c r="A232" s="343"/>
      <c r="B232" s="343"/>
      <c r="C232" s="343"/>
      <c r="D232" s="343"/>
      <c r="E232" s="343"/>
      <c r="F232" s="343"/>
    </row>
    <row r="233" spans="1:6" x14ac:dyDescent="0.25">
      <c r="A233" s="343"/>
      <c r="B233" s="343"/>
      <c r="C233" s="343"/>
      <c r="D233" s="343"/>
      <c r="E233" s="343"/>
      <c r="F233" s="343"/>
    </row>
    <row r="234" spans="1:6" x14ac:dyDescent="0.25">
      <c r="A234" s="343"/>
      <c r="B234" s="343"/>
      <c r="C234" s="343"/>
      <c r="D234" s="343"/>
      <c r="E234" s="343"/>
      <c r="F234" s="343"/>
    </row>
    <row r="235" spans="1:6" x14ac:dyDescent="0.25">
      <c r="A235" s="343"/>
      <c r="B235" s="343"/>
      <c r="C235" s="343"/>
      <c r="D235" s="343"/>
      <c r="E235" s="343"/>
      <c r="F235" s="343"/>
    </row>
    <row r="236" spans="1:6" x14ac:dyDescent="0.25">
      <c r="A236" s="343"/>
      <c r="B236" s="343"/>
      <c r="C236" s="343"/>
      <c r="D236" s="343"/>
      <c r="E236" s="343"/>
      <c r="F236" s="343"/>
    </row>
    <row r="237" spans="1:6" x14ac:dyDescent="0.25">
      <c r="A237" s="343"/>
      <c r="B237" s="343"/>
      <c r="C237" s="343"/>
      <c r="D237" s="343"/>
      <c r="E237" s="343"/>
      <c r="F237" s="343"/>
    </row>
    <row r="238" spans="1:6" x14ac:dyDescent="0.25">
      <c r="A238" s="343"/>
      <c r="B238" s="343"/>
      <c r="C238" s="343"/>
      <c r="D238" s="343"/>
      <c r="E238" s="343"/>
      <c r="F238" s="343"/>
    </row>
    <row r="239" spans="1:6" x14ac:dyDescent="0.25">
      <c r="A239" s="343"/>
      <c r="B239" s="343"/>
      <c r="C239" s="343"/>
      <c r="D239" s="343"/>
      <c r="E239" s="343"/>
      <c r="F239" s="343"/>
    </row>
    <row r="240" spans="1:6" x14ac:dyDescent="0.25">
      <c r="A240" s="343"/>
      <c r="B240" s="343"/>
      <c r="C240" s="343"/>
      <c r="D240" s="343"/>
      <c r="E240" s="343"/>
      <c r="F240" s="343"/>
    </row>
    <row r="241" spans="1:6" x14ac:dyDescent="0.25">
      <c r="A241" s="343"/>
      <c r="B241" s="343"/>
      <c r="C241" s="343"/>
      <c r="D241" s="343"/>
      <c r="E241" s="343"/>
      <c r="F241" s="343"/>
    </row>
    <row r="242" spans="1:6" x14ac:dyDescent="0.25">
      <c r="A242" s="343"/>
      <c r="B242" s="343"/>
      <c r="C242" s="343"/>
      <c r="D242" s="343"/>
      <c r="E242" s="343"/>
      <c r="F242" s="343"/>
    </row>
    <row r="243" spans="1:6" x14ac:dyDescent="0.25">
      <c r="A243" s="343"/>
      <c r="B243" s="343"/>
      <c r="C243" s="343"/>
      <c r="D243" s="343"/>
      <c r="E243" s="343"/>
      <c r="F243" s="343"/>
    </row>
    <row r="244" spans="1:6" x14ac:dyDescent="0.25">
      <c r="A244" s="343"/>
      <c r="B244" s="343"/>
      <c r="C244" s="343"/>
      <c r="D244" s="343"/>
      <c r="E244" s="343"/>
      <c r="F244" s="343"/>
    </row>
    <row r="245" spans="1:6" x14ac:dyDescent="0.25">
      <c r="A245" s="343"/>
      <c r="B245" s="343"/>
      <c r="C245" s="343"/>
      <c r="D245" s="343"/>
      <c r="E245" s="343"/>
      <c r="F245" s="343"/>
    </row>
    <row r="246" spans="1:6" x14ac:dyDescent="0.25">
      <c r="A246" s="343"/>
      <c r="B246" s="343"/>
      <c r="C246" s="343"/>
      <c r="D246" s="343"/>
      <c r="E246" s="343"/>
      <c r="F246" s="343"/>
    </row>
    <row r="247" spans="1:6" x14ac:dyDescent="0.25">
      <c r="A247" s="343"/>
      <c r="B247" s="343"/>
      <c r="C247" s="343"/>
      <c r="D247" s="343"/>
      <c r="E247" s="343"/>
      <c r="F247" s="343"/>
    </row>
    <row r="248" spans="1:6" x14ac:dyDescent="0.25">
      <c r="A248" s="343"/>
      <c r="B248" s="343"/>
      <c r="C248" s="343"/>
      <c r="D248" s="343"/>
      <c r="E248" s="343"/>
      <c r="F248" s="343"/>
    </row>
    <row r="249" spans="1:6" x14ac:dyDescent="0.25">
      <c r="A249" s="343"/>
      <c r="B249" s="343"/>
      <c r="C249" s="343"/>
      <c r="D249" s="343"/>
      <c r="E249" s="343"/>
      <c r="F249" s="343"/>
    </row>
    <row r="250" spans="1:6" x14ac:dyDescent="0.25">
      <c r="A250" s="343"/>
      <c r="B250" s="343"/>
      <c r="C250" s="343"/>
      <c r="D250" s="343"/>
      <c r="E250" s="343"/>
      <c r="F250" s="343"/>
    </row>
    <row r="251" spans="1:6" x14ac:dyDescent="0.25">
      <c r="A251" s="343"/>
      <c r="B251" s="343"/>
      <c r="C251" s="343"/>
      <c r="D251" s="343"/>
      <c r="E251" s="343"/>
      <c r="F251" s="343"/>
    </row>
    <row r="252" spans="1:6" x14ac:dyDescent="0.25">
      <c r="A252" s="343"/>
      <c r="B252" s="343"/>
      <c r="C252" s="343"/>
      <c r="D252" s="343"/>
      <c r="E252" s="343"/>
      <c r="F252" s="343"/>
    </row>
    <row r="253" spans="1:6" x14ac:dyDescent="0.25">
      <c r="A253" s="343"/>
      <c r="B253" s="343"/>
      <c r="C253" s="343"/>
      <c r="D253" s="343"/>
      <c r="E253" s="343"/>
      <c r="F253" s="343"/>
    </row>
    <row r="254" spans="1:6" x14ac:dyDescent="0.25">
      <c r="A254" s="343"/>
      <c r="B254" s="343"/>
      <c r="C254" s="343"/>
      <c r="D254" s="343"/>
      <c r="E254" s="343"/>
      <c r="F254" s="343"/>
    </row>
    <row r="255" spans="1:6" x14ac:dyDescent="0.25">
      <c r="A255" s="343"/>
      <c r="B255" s="343"/>
      <c r="C255" s="343"/>
      <c r="D255" s="343"/>
      <c r="E255" s="343"/>
      <c r="F255" s="343"/>
    </row>
    <row r="256" spans="1:6" x14ac:dyDescent="0.25">
      <c r="A256" s="343"/>
      <c r="B256" s="343"/>
      <c r="C256" s="343"/>
      <c r="D256" s="343"/>
      <c r="E256" s="343"/>
      <c r="F256" s="343"/>
    </row>
    <row r="257" spans="1:6" x14ac:dyDescent="0.25">
      <c r="A257" s="343"/>
      <c r="B257" s="343"/>
      <c r="C257" s="343"/>
      <c r="D257" s="343"/>
      <c r="E257" s="343"/>
      <c r="F257" s="343"/>
    </row>
    <row r="258" spans="1:6" x14ac:dyDescent="0.25">
      <c r="A258" s="343"/>
      <c r="B258" s="343"/>
      <c r="C258" s="343"/>
      <c r="D258" s="343"/>
      <c r="E258" s="343"/>
      <c r="F258" s="343"/>
    </row>
    <row r="259" spans="1:6" x14ac:dyDescent="0.25">
      <c r="A259" s="343"/>
      <c r="B259" s="343"/>
      <c r="C259" s="343"/>
      <c r="D259" s="343"/>
      <c r="E259" s="343"/>
      <c r="F259" s="343"/>
    </row>
    <row r="260" spans="1:6" x14ac:dyDescent="0.25">
      <c r="A260" s="343"/>
      <c r="B260" s="343"/>
      <c r="C260" s="343"/>
      <c r="D260" s="343"/>
      <c r="E260" s="343"/>
      <c r="F260" s="343"/>
    </row>
    <row r="261" spans="1:6" x14ac:dyDescent="0.25">
      <c r="A261" s="343"/>
      <c r="B261" s="343"/>
      <c r="C261" s="343"/>
      <c r="D261" s="343"/>
      <c r="E261" s="343"/>
      <c r="F261" s="343"/>
    </row>
    <row r="262" spans="1:6" x14ac:dyDescent="0.25">
      <c r="A262" s="343"/>
      <c r="B262" s="343"/>
      <c r="C262" s="343"/>
      <c r="D262" s="343"/>
      <c r="E262" s="343"/>
      <c r="F262" s="343"/>
    </row>
    <row r="263" spans="1:6" x14ac:dyDescent="0.25">
      <c r="A263" s="343"/>
      <c r="B263" s="343"/>
      <c r="C263" s="343"/>
      <c r="D263" s="343"/>
      <c r="E263" s="343"/>
      <c r="F263" s="343"/>
    </row>
    <row r="264" spans="1:6" x14ac:dyDescent="0.25">
      <c r="A264" s="343"/>
      <c r="B264" s="343"/>
      <c r="C264" s="343"/>
      <c r="D264" s="343"/>
      <c r="E264" s="343"/>
      <c r="F264" s="343"/>
    </row>
    <row r="265" spans="1:6" x14ac:dyDescent="0.25">
      <c r="A265" s="343"/>
      <c r="B265" s="343"/>
      <c r="C265" s="343"/>
      <c r="D265" s="343"/>
      <c r="E265" s="343"/>
      <c r="F265" s="343"/>
    </row>
    <row r="266" spans="1:6" x14ac:dyDescent="0.25">
      <c r="A266" s="343"/>
      <c r="B266" s="343"/>
      <c r="C266" s="343"/>
      <c r="D266" s="343"/>
      <c r="E266" s="343"/>
      <c r="F266" s="343"/>
    </row>
    <row r="267" spans="1:6" x14ac:dyDescent="0.25">
      <c r="A267" s="343"/>
      <c r="B267" s="343"/>
      <c r="C267" s="343"/>
      <c r="D267" s="343"/>
      <c r="E267" s="343"/>
      <c r="F267" s="343"/>
    </row>
    <row r="268" spans="1:6" x14ac:dyDescent="0.25">
      <c r="A268" s="343"/>
      <c r="B268" s="343"/>
      <c r="C268" s="343"/>
      <c r="D268" s="343"/>
      <c r="E268" s="343"/>
      <c r="F268" s="343"/>
    </row>
    <row r="269" spans="1:6" x14ac:dyDescent="0.25">
      <c r="A269" s="343"/>
      <c r="B269" s="343"/>
      <c r="C269" s="343"/>
      <c r="D269" s="343"/>
      <c r="E269" s="343"/>
      <c r="F269" s="343"/>
    </row>
    <row r="270" spans="1:6" x14ac:dyDescent="0.25">
      <c r="A270" s="343"/>
      <c r="B270" s="343"/>
      <c r="C270" s="343"/>
      <c r="D270" s="343"/>
      <c r="E270" s="343"/>
      <c r="F270" s="343"/>
    </row>
    <row r="271" spans="1:6" x14ac:dyDescent="0.25">
      <c r="A271" s="343"/>
      <c r="B271" s="343"/>
      <c r="C271" s="343"/>
      <c r="D271" s="343"/>
      <c r="E271" s="343"/>
      <c r="F271" s="343"/>
    </row>
    <row r="272" spans="1:6" x14ac:dyDescent="0.25">
      <c r="A272" s="343"/>
      <c r="B272" s="343"/>
      <c r="C272" s="343"/>
      <c r="D272" s="343"/>
      <c r="E272" s="343"/>
      <c r="F272" s="343"/>
    </row>
    <row r="273" spans="1:6" x14ac:dyDescent="0.25">
      <c r="A273" s="343"/>
      <c r="B273" s="343"/>
      <c r="C273" s="343"/>
      <c r="D273" s="343"/>
      <c r="E273" s="343"/>
      <c r="F273" s="343"/>
    </row>
    <row r="274" spans="1:6" x14ac:dyDescent="0.25">
      <c r="A274" s="343"/>
      <c r="B274" s="343"/>
      <c r="C274" s="343"/>
      <c r="D274" s="343"/>
      <c r="E274" s="343"/>
      <c r="F274" s="343"/>
    </row>
    <row r="275" spans="1:6" x14ac:dyDescent="0.25">
      <c r="A275" s="343"/>
      <c r="B275" s="343"/>
      <c r="C275" s="343"/>
      <c r="D275" s="343"/>
      <c r="E275" s="343"/>
      <c r="F275" s="343"/>
    </row>
    <row r="276" spans="1:6" x14ac:dyDescent="0.25">
      <c r="A276" s="343"/>
      <c r="B276" s="343"/>
      <c r="C276" s="343"/>
      <c r="D276" s="343"/>
      <c r="E276" s="343"/>
      <c r="F276" s="343"/>
    </row>
    <row r="277" spans="1:6" x14ac:dyDescent="0.25">
      <c r="A277" s="343"/>
      <c r="B277" s="343"/>
      <c r="C277" s="343"/>
      <c r="D277" s="343"/>
      <c r="E277" s="343"/>
      <c r="F277" s="343"/>
    </row>
    <row r="278" spans="1:6" x14ac:dyDescent="0.25">
      <c r="A278" s="343"/>
      <c r="B278" s="343"/>
      <c r="C278" s="343"/>
      <c r="D278" s="343"/>
      <c r="E278" s="343"/>
      <c r="F278" s="343"/>
    </row>
    <row r="279" spans="1:6" x14ac:dyDescent="0.25">
      <c r="A279" s="343"/>
      <c r="B279" s="343"/>
      <c r="C279" s="343"/>
      <c r="D279" s="343"/>
      <c r="E279" s="343"/>
      <c r="F279" s="343"/>
    </row>
    <row r="280" spans="1:6" x14ac:dyDescent="0.25">
      <c r="A280" s="343"/>
      <c r="B280" s="343"/>
      <c r="C280" s="343"/>
      <c r="D280" s="343"/>
      <c r="E280" s="343"/>
      <c r="F280" s="343"/>
    </row>
    <row r="281" spans="1:6" x14ac:dyDescent="0.25">
      <c r="A281" s="343"/>
      <c r="B281" s="343"/>
      <c r="C281" s="343"/>
      <c r="D281" s="343"/>
      <c r="E281" s="343"/>
      <c r="F281" s="343"/>
    </row>
    <row r="282" spans="1:6" x14ac:dyDescent="0.25">
      <c r="A282" s="343"/>
      <c r="B282" s="343"/>
      <c r="C282" s="343"/>
      <c r="D282" s="343"/>
      <c r="E282" s="343"/>
      <c r="F282" s="343"/>
    </row>
    <row r="283" spans="1:6" x14ac:dyDescent="0.25">
      <c r="A283" s="343"/>
      <c r="B283" s="343"/>
      <c r="C283" s="343"/>
      <c r="D283" s="343"/>
      <c r="E283" s="343"/>
      <c r="F283" s="343"/>
    </row>
    <row r="284" spans="1:6" x14ac:dyDescent="0.25">
      <c r="A284" s="343"/>
      <c r="B284" s="343"/>
      <c r="C284" s="343"/>
      <c r="D284" s="343"/>
      <c r="E284" s="343"/>
      <c r="F284" s="343"/>
    </row>
    <row r="285" spans="1:6" x14ac:dyDescent="0.25">
      <c r="A285" s="343"/>
      <c r="B285" s="343"/>
      <c r="C285" s="343"/>
      <c r="D285" s="343"/>
      <c r="E285" s="343"/>
      <c r="F285" s="343"/>
    </row>
    <row r="286" spans="1:6" x14ac:dyDescent="0.25">
      <c r="A286" s="343"/>
      <c r="B286" s="343"/>
      <c r="C286" s="343"/>
      <c r="D286" s="343"/>
      <c r="E286" s="343"/>
      <c r="F286" s="343"/>
    </row>
    <row r="287" spans="1:6" x14ac:dyDescent="0.25">
      <c r="A287" s="343"/>
      <c r="B287" s="343"/>
      <c r="C287" s="343"/>
      <c r="D287" s="343"/>
      <c r="E287" s="343"/>
      <c r="F287" s="343"/>
    </row>
    <row r="288" spans="1:6" x14ac:dyDescent="0.25">
      <c r="A288" s="343"/>
      <c r="B288" s="343"/>
      <c r="C288" s="343"/>
      <c r="D288" s="343"/>
      <c r="E288" s="343"/>
      <c r="F288" s="343"/>
    </row>
    <row r="289" spans="1:6" x14ac:dyDescent="0.25">
      <c r="A289" s="343"/>
      <c r="B289" s="343"/>
      <c r="C289" s="343"/>
      <c r="D289" s="343"/>
      <c r="E289" s="343"/>
      <c r="F289" s="343"/>
    </row>
  </sheetData>
  <mergeCells count="1">
    <mergeCell ref="A1:B1"/>
  </mergeCells>
  <hyperlinks>
    <hyperlink ref="B18" r:id="rId1" xr:uid="{6FF9E2C4-DEDE-471E-9262-C732CF5D3EB5}"/>
  </hyperlinks>
  <pageMargins left="0.70866141732283472" right="0.70866141732283472" top="0.78740157480314965" bottom="0.78740157480314965" header="0.31496062992125984" footer="0.31496062992125984"/>
  <pageSetup paperSize="9" scale="99" fitToHeight="0" orientation="portrait"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AE4DB-3506-4EF5-8620-F2C8E45120FB}">
  <sheetPr codeName="Tabelle19">
    <pageSetUpPr fitToPage="1"/>
  </sheetPr>
  <dimension ref="A1:F297"/>
  <sheetViews>
    <sheetView showGridLines="0" zoomScaleNormal="100" workbookViewId="0">
      <selection sqref="A1:B1"/>
    </sheetView>
  </sheetViews>
  <sheetFormatPr defaultColWidth="11.453125" defaultRowHeight="12.5" x14ac:dyDescent="0.25"/>
  <cols>
    <col min="1" max="1" width="2.1796875" style="341" customWidth="1"/>
    <col min="2" max="2" width="87.453125" style="341" customWidth="1"/>
    <col min="3" max="6" width="11.453125" style="341"/>
    <col min="7" max="7" width="4.54296875" style="341" customWidth="1"/>
    <col min="8" max="16384" width="11.453125" style="341"/>
  </cols>
  <sheetData>
    <row r="1" spans="1:6" ht="39.75" customHeight="1" x14ac:dyDescent="0.25">
      <c r="A1" s="533" t="s">
        <v>40</v>
      </c>
      <c r="B1" s="533"/>
    </row>
    <row r="2" spans="1:6" ht="25.5" customHeight="1" x14ac:dyDescent="0.25">
      <c r="B2" s="342" t="s">
        <v>439</v>
      </c>
    </row>
    <row r="3" spans="1:6" ht="25" customHeight="1" x14ac:dyDescent="0.25">
      <c r="A3" s="343"/>
      <c r="B3" s="350" t="s">
        <v>440</v>
      </c>
    </row>
    <row r="4" spans="1:6" ht="145.9" customHeight="1" x14ac:dyDescent="0.25">
      <c r="A4" s="343"/>
      <c r="B4" s="351" t="s">
        <v>441</v>
      </c>
    </row>
    <row r="5" spans="1:6" ht="12.75" customHeight="1" x14ac:dyDescent="0.25">
      <c r="A5" s="343"/>
      <c r="B5" s="352"/>
    </row>
    <row r="6" spans="1:6" ht="151" x14ac:dyDescent="0.25">
      <c r="A6" s="343"/>
      <c r="B6" s="353" t="s">
        <v>442</v>
      </c>
    </row>
    <row r="7" spans="1:6" ht="19.75" customHeight="1" x14ac:dyDescent="0.25">
      <c r="A7" s="343"/>
      <c r="B7" s="354" t="s">
        <v>443</v>
      </c>
    </row>
    <row r="8" spans="1:6" ht="12.75" customHeight="1" x14ac:dyDescent="0.25">
      <c r="A8" s="343"/>
      <c r="B8" s="352"/>
    </row>
    <row r="9" spans="1:6" ht="147" customHeight="1" x14ac:dyDescent="0.25">
      <c r="A9" s="343"/>
      <c r="B9" s="355" t="s">
        <v>444</v>
      </c>
    </row>
    <row r="10" spans="1:6" s="358" customFormat="1" ht="19.75" customHeight="1" x14ac:dyDescent="0.25">
      <c r="A10" s="356"/>
      <c r="B10" s="357" t="s">
        <v>445</v>
      </c>
      <c r="C10" s="356"/>
      <c r="D10" s="356"/>
      <c r="E10" s="356"/>
      <c r="F10" s="356"/>
    </row>
    <row r="11" spans="1:6" s="358" customFormat="1" x14ac:dyDescent="0.25">
      <c r="A11" s="356"/>
      <c r="B11" s="359"/>
      <c r="C11" s="356"/>
      <c r="D11" s="356"/>
      <c r="E11" s="356"/>
      <c r="F11" s="356"/>
    </row>
    <row r="12" spans="1:6" ht="64.5" customHeight="1" x14ac:dyDescent="0.25">
      <c r="A12" s="343"/>
      <c r="B12" s="353" t="s">
        <v>446</v>
      </c>
      <c r="C12" s="343"/>
      <c r="D12" s="343"/>
      <c r="E12" s="343"/>
      <c r="F12" s="343"/>
    </row>
    <row r="13" spans="1:6" ht="61.5" customHeight="1" x14ac:dyDescent="0.25">
      <c r="A13" s="343"/>
      <c r="B13" s="360" t="s">
        <v>447</v>
      </c>
      <c r="C13" s="343"/>
      <c r="D13" s="343"/>
      <c r="E13" s="343"/>
      <c r="F13" s="343"/>
    </row>
    <row r="14" spans="1:6" ht="99.25" customHeight="1" x14ac:dyDescent="0.25">
      <c r="A14" s="343"/>
      <c r="B14" s="351" t="s">
        <v>448</v>
      </c>
      <c r="C14" s="343"/>
      <c r="D14" s="343"/>
      <c r="E14" s="343"/>
      <c r="F14" s="343"/>
    </row>
    <row r="15" spans="1:6" ht="19.75" customHeight="1" x14ac:dyDescent="0.25">
      <c r="A15" s="343"/>
      <c r="B15" s="357" t="s">
        <v>449</v>
      </c>
      <c r="C15" s="343"/>
      <c r="D15" s="343"/>
      <c r="E15" s="343"/>
      <c r="F15" s="343"/>
    </row>
    <row r="16" spans="1:6" x14ac:dyDescent="0.25">
      <c r="A16" s="343"/>
      <c r="B16" s="353"/>
      <c r="C16" s="343"/>
      <c r="D16" s="343"/>
      <c r="E16" s="343"/>
      <c r="F16" s="343"/>
    </row>
    <row r="17" spans="1:6" x14ac:dyDescent="0.25">
      <c r="A17" s="343"/>
      <c r="C17" s="343"/>
      <c r="D17" s="343"/>
      <c r="E17" s="343"/>
      <c r="F17" s="343"/>
    </row>
    <row r="18" spans="1:6" x14ac:dyDescent="0.25">
      <c r="A18" s="343"/>
      <c r="B18" s="353"/>
      <c r="C18" s="343"/>
      <c r="D18" s="343"/>
      <c r="E18" s="343"/>
      <c r="F18" s="343"/>
    </row>
    <row r="19" spans="1:6" x14ac:dyDescent="0.25">
      <c r="A19" s="343"/>
      <c r="B19" s="351"/>
      <c r="C19" s="343"/>
      <c r="D19" s="343"/>
      <c r="E19" s="343"/>
      <c r="F19" s="343"/>
    </row>
    <row r="20" spans="1:6" x14ac:dyDescent="0.25">
      <c r="A20" s="343"/>
      <c r="B20" s="353"/>
      <c r="C20" s="343"/>
      <c r="D20" s="343"/>
      <c r="E20" s="343"/>
      <c r="F20" s="343"/>
    </row>
    <row r="21" spans="1:6" x14ac:dyDescent="0.25">
      <c r="A21" s="343"/>
      <c r="B21" s="353"/>
      <c r="C21" s="343"/>
      <c r="D21" s="343"/>
      <c r="E21" s="343"/>
      <c r="F21" s="343"/>
    </row>
    <row r="22" spans="1:6" x14ac:dyDescent="0.25">
      <c r="A22" s="343"/>
      <c r="C22" s="343"/>
      <c r="D22" s="343"/>
      <c r="E22" s="343"/>
      <c r="F22" s="343"/>
    </row>
    <row r="23" spans="1:6" x14ac:dyDescent="0.25">
      <c r="A23" s="343"/>
      <c r="B23" s="353"/>
      <c r="C23" s="343"/>
      <c r="D23" s="343"/>
      <c r="E23" s="343"/>
      <c r="F23" s="343"/>
    </row>
    <row r="24" spans="1:6" x14ac:dyDescent="0.25">
      <c r="A24" s="343"/>
      <c r="B24" s="353"/>
      <c r="C24" s="343"/>
      <c r="D24" s="343"/>
      <c r="E24" s="343"/>
      <c r="F24" s="343"/>
    </row>
    <row r="25" spans="1:6" x14ac:dyDescent="0.25">
      <c r="A25" s="343"/>
      <c r="B25" s="343"/>
      <c r="C25" s="343"/>
      <c r="D25" s="343"/>
      <c r="E25" s="343"/>
      <c r="F25" s="343"/>
    </row>
    <row r="26" spans="1:6" x14ac:dyDescent="0.25">
      <c r="A26" s="361"/>
      <c r="B26" s="353"/>
      <c r="C26" s="361"/>
      <c r="D26" s="361"/>
      <c r="E26" s="361"/>
      <c r="F26" s="361"/>
    </row>
    <row r="27" spans="1:6" x14ac:dyDescent="0.25">
      <c r="A27" s="343"/>
      <c r="B27" s="353"/>
      <c r="C27" s="343"/>
      <c r="D27" s="343"/>
      <c r="E27" s="343"/>
      <c r="F27" s="343"/>
    </row>
    <row r="28" spans="1:6" x14ac:dyDescent="0.25">
      <c r="A28" s="343"/>
      <c r="B28" s="353"/>
      <c r="C28" s="343"/>
      <c r="D28" s="343"/>
      <c r="E28" s="343"/>
      <c r="F28" s="343"/>
    </row>
    <row r="29" spans="1:6" x14ac:dyDescent="0.25">
      <c r="A29" s="343"/>
      <c r="B29" s="343"/>
      <c r="C29" s="343"/>
      <c r="D29" s="343"/>
      <c r="E29" s="343"/>
      <c r="F29" s="343"/>
    </row>
    <row r="30" spans="1:6" x14ac:dyDescent="0.25">
      <c r="A30" s="343"/>
      <c r="B30" s="343"/>
      <c r="C30" s="343"/>
      <c r="D30" s="343"/>
      <c r="E30" s="343"/>
      <c r="F30" s="343"/>
    </row>
    <row r="31" spans="1:6" x14ac:dyDescent="0.25">
      <c r="A31" s="343"/>
      <c r="B31" s="343"/>
      <c r="C31" s="343"/>
      <c r="D31" s="343"/>
      <c r="E31" s="343"/>
      <c r="F31" s="343"/>
    </row>
    <row r="32" spans="1:6" ht="13" x14ac:dyDescent="0.25">
      <c r="A32" s="347"/>
      <c r="B32" s="343"/>
      <c r="C32" s="343"/>
      <c r="D32" s="343"/>
      <c r="E32" s="343"/>
      <c r="F32" s="343"/>
    </row>
    <row r="33" spans="1:6" x14ac:dyDescent="0.25">
      <c r="A33" s="348"/>
      <c r="B33" s="343"/>
      <c r="C33" s="343"/>
      <c r="D33" s="343"/>
      <c r="E33" s="343"/>
      <c r="F33" s="343"/>
    </row>
    <row r="34" spans="1:6" x14ac:dyDescent="0.25">
      <c r="A34" s="343"/>
      <c r="B34" s="343"/>
      <c r="C34" s="343"/>
      <c r="D34" s="343"/>
      <c r="E34" s="343"/>
      <c r="F34" s="343"/>
    </row>
    <row r="35" spans="1:6" x14ac:dyDescent="0.25">
      <c r="A35" s="343"/>
      <c r="B35" s="343"/>
      <c r="C35" s="343"/>
      <c r="D35" s="343"/>
      <c r="E35" s="343"/>
      <c r="F35" s="343"/>
    </row>
    <row r="36" spans="1:6" x14ac:dyDescent="0.25">
      <c r="A36" s="343"/>
      <c r="B36" s="343"/>
      <c r="C36" s="343"/>
      <c r="D36" s="343"/>
      <c r="E36" s="343"/>
      <c r="F36" s="343"/>
    </row>
    <row r="37" spans="1:6" x14ac:dyDescent="0.25">
      <c r="A37" s="343"/>
      <c r="B37" s="343"/>
      <c r="C37" s="343"/>
      <c r="D37" s="343"/>
      <c r="E37" s="343"/>
      <c r="F37" s="343"/>
    </row>
    <row r="38" spans="1:6" x14ac:dyDescent="0.25">
      <c r="A38" s="343"/>
      <c r="B38" s="343"/>
      <c r="C38" s="343"/>
      <c r="D38" s="343"/>
      <c r="E38" s="343"/>
      <c r="F38" s="343"/>
    </row>
    <row r="39" spans="1:6" x14ac:dyDescent="0.25">
      <c r="A39" s="343"/>
      <c r="B39" s="343"/>
      <c r="C39" s="343"/>
      <c r="D39" s="343"/>
      <c r="E39" s="343"/>
      <c r="F39" s="343"/>
    </row>
    <row r="40" spans="1:6" x14ac:dyDescent="0.25">
      <c r="A40" s="343"/>
      <c r="B40" s="349"/>
      <c r="C40" s="343"/>
      <c r="D40" s="343"/>
      <c r="E40" s="343"/>
      <c r="F40" s="343"/>
    </row>
    <row r="41" spans="1:6" x14ac:dyDescent="0.25">
      <c r="A41" s="349"/>
      <c r="B41" s="343"/>
      <c r="C41" s="349"/>
      <c r="D41" s="349"/>
      <c r="E41" s="349"/>
      <c r="F41" s="349"/>
    </row>
    <row r="42" spans="1:6" x14ac:dyDescent="0.25">
      <c r="A42" s="343"/>
      <c r="B42" s="343"/>
      <c r="C42" s="343"/>
      <c r="D42" s="343"/>
      <c r="E42" s="343"/>
      <c r="F42" s="343"/>
    </row>
    <row r="43" spans="1:6" x14ac:dyDescent="0.25">
      <c r="A43" s="343"/>
      <c r="B43" s="343"/>
      <c r="C43" s="343"/>
      <c r="D43" s="343"/>
      <c r="E43" s="343"/>
      <c r="F43" s="343"/>
    </row>
    <row r="44" spans="1:6" x14ac:dyDescent="0.25">
      <c r="A44" s="343"/>
      <c r="B44" s="343"/>
      <c r="C44" s="343"/>
      <c r="D44" s="343"/>
      <c r="E44" s="343"/>
      <c r="F44" s="343"/>
    </row>
    <row r="45" spans="1:6" x14ac:dyDescent="0.25">
      <c r="A45" s="343"/>
      <c r="B45" s="343"/>
      <c r="C45" s="343"/>
      <c r="D45" s="343"/>
      <c r="E45" s="343"/>
      <c r="F45" s="343"/>
    </row>
    <row r="46" spans="1:6" x14ac:dyDescent="0.25">
      <c r="A46" s="343"/>
      <c r="B46" s="343"/>
      <c r="C46" s="343"/>
      <c r="D46" s="343"/>
      <c r="E46" s="343"/>
      <c r="F46" s="343"/>
    </row>
    <row r="47" spans="1:6" x14ac:dyDescent="0.25">
      <c r="A47" s="343"/>
      <c r="B47" s="343"/>
      <c r="C47" s="343"/>
      <c r="D47" s="343"/>
      <c r="E47" s="343"/>
      <c r="F47" s="343"/>
    </row>
    <row r="48" spans="1:6" x14ac:dyDescent="0.25">
      <c r="A48" s="343"/>
      <c r="B48" s="343"/>
      <c r="C48" s="343"/>
      <c r="D48" s="343"/>
      <c r="E48" s="343"/>
      <c r="F48" s="343"/>
    </row>
    <row r="49" spans="1:6" x14ac:dyDescent="0.25">
      <c r="A49" s="343"/>
      <c r="B49" s="343"/>
      <c r="C49" s="343"/>
      <c r="D49" s="343"/>
      <c r="E49" s="343"/>
      <c r="F49" s="343"/>
    </row>
    <row r="50" spans="1:6" x14ac:dyDescent="0.25">
      <c r="A50" s="343"/>
      <c r="B50" s="343"/>
      <c r="C50" s="343"/>
      <c r="D50" s="343"/>
      <c r="E50" s="343"/>
      <c r="F50" s="343"/>
    </row>
    <row r="51" spans="1:6" x14ac:dyDescent="0.25">
      <c r="A51" s="343"/>
      <c r="B51" s="343"/>
      <c r="C51" s="343"/>
      <c r="D51" s="343"/>
      <c r="E51" s="343"/>
      <c r="F51" s="343"/>
    </row>
    <row r="52" spans="1:6" x14ac:dyDescent="0.25">
      <c r="A52" s="343"/>
      <c r="B52" s="343"/>
      <c r="C52" s="343"/>
      <c r="D52" s="343"/>
      <c r="E52" s="343"/>
      <c r="F52" s="343"/>
    </row>
    <row r="53" spans="1:6" x14ac:dyDescent="0.25">
      <c r="A53" s="343"/>
      <c r="B53" s="343"/>
      <c r="C53" s="343"/>
      <c r="D53" s="343"/>
      <c r="E53" s="343"/>
      <c r="F53" s="343"/>
    </row>
    <row r="54" spans="1:6" x14ac:dyDescent="0.25">
      <c r="A54" s="343"/>
      <c r="B54" s="343"/>
      <c r="C54" s="343"/>
      <c r="D54" s="343"/>
      <c r="E54" s="343"/>
      <c r="F54" s="343"/>
    </row>
    <row r="55" spans="1:6" x14ac:dyDescent="0.25">
      <c r="A55" s="343"/>
      <c r="B55" s="343"/>
      <c r="C55" s="343"/>
      <c r="D55" s="343"/>
      <c r="E55" s="343"/>
      <c r="F55" s="343"/>
    </row>
    <row r="56" spans="1:6" x14ac:dyDescent="0.25">
      <c r="A56" s="343"/>
      <c r="B56" s="343"/>
      <c r="C56" s="343"/>
      <c r="D56" s="343"/>
      <c r="E56" s="343"/>
      <c r="F56" s="343"/>
    </row>
    <row r="57" spans="1:6" x14ac:dyDescent="0.25">
      <c r="A57" s="343"/>
      <c r="B57" s="343"/>
      <c r="C57" s="343"/>
      <c r="D57" s="343"/>
      <c r="E57" s="343"/>
      <c r="F57" s="343"/>
    </row>
    <row r="58" spans="1:6" x14ac:dyDescent="0.25">
      <c r="A58" s="343"/>
      <c r="B58" s="343"/>
      <c r="C58" s="343"/>
      <c r="D58" s="343"/>
      <c r="E58" s="343"/>
      <c r="F58" s="343"/>
    </row>
    <row r="59" spans="1:6" x14ac:dyDescent="0.25">
      <c r="A59" s="343"/>
      <c r="B59" s="343"/>
      <c r="C59" s="343"/>
      <c r="D59" s="343"/>
      <c r="E59" s="343"/>
      <c r="F59" s="343"/>
    </row>
    <row r="60" spans="1:6" x14ac:dyDescent="0.25">
      <c r="A60" s="343"/>
      <c r="B60" s="343"/>
      <c r="C60" s="343"/>
      <c r="D60" s="343"/>
      <c r="E60" s="343"/>
      <c r="F60" s="343"/>
    </row>
    <row r="61" spans="1:6" x14ac:dyDescent="0.25">
      <c r="A61" s="343"/>
      <c r="B61" s="343"/>
      <c r="C61" s="343"/>
      <c r="D61" s="343"/>
      <c r="E61" s="343"/>
      <c r="F61" s="343"/>
    </row>
    <row r="62" spans="1:6" x14ac:dyDescent="0.25">
      <c r="A62" s="343"/>
      <c r="B62" s="343"/>
      <c r="C62" s="343"/>
      <c r="D62" s="343"/>
      <c r="E62" s="343"/>
      <c r="F62" s="343"/>
    </row>
    <row r="63" spans="1:6" x14ac:dyDescent="0.25">
      <c r="A63" s="343"/>
      <c r="B63" s="343"/>
      <c r="C63" s="343"/>
      <c r="D63" s="343"/>
      <c r="E63" s="343"/>
      <c r="F63" s="343"/>
    </row>
    <row r="64" spans="1:6" x14ac:dyDescent="0.25">
      <c r="A64" s="343"/>
      <c r="B64" s="343"/>
      <c r="C64" s="343"/>
      <c r="D64" s="343"/>
      <c r="E64" s="343"/>
      <c r="F64" s="343"/>
    </row>
    <row r="65" spans="1:6" x14ac:dyDescent="0.25">
      <c r="A65" s="343"/>
      <c r="B65" s="343"/>
      <c r="C65" s="343"/>
      <c r="D65" s="343"/>
      <c r="E65" s="343"/>
      <c r="F65" s="343"/>
    </row>
    <row r="66" spans="1:6" x14ac:dyDescent="0.25">
      <c r="A66" s="343"/>
      <c r="B66" s="343"/>
      <c r="C66" s="343"/>
      <c r="D66" s="343"/>
      <c r="E66" s="343"/>
      <c r="F66" s="343"/>
    </row>
    <row r="67" spans="1:6" x14ac:dyDescent="0.25">
      <c r="A67" s="343"/>
      <c r="B67" s="343"/>
      <c r="C67" s="343"/>
      <c r="D67" s="343"/>
      <c r="E67" s="343"/>
      <c r="F67" s="343"/>
    </row>
    <row r="68" spans="1:6" x14ac:dyDescent="0.25">
      <c r="A68" s="343"/>
      <c r="B68" s="343"/>
      <c r="C68" s="343"/>
      <c r="D68" s="343"/>
      <c r="E68" s="343"/>
      <c r="F68" s="343"/>
    </row>
    <row r="69" spans="1:6" x14ac:dyDescent="0.25">
      <c r="A69" s="343"/>
      <c r="B69" s="343"/>
      <c r="C69" s="343"/>
      <c r="D69" s="343"/>
      <c r="E69" s="343"/>
      <c r="F69" s="343"/>
    </row>
    <row r="70" spans="1:6" x14ac:dyDescent="0.25">
      <c r="A70" s="343"/>
      <c r="B70" s="343"/>
      <c r="C70" s="343"/>
      <c r="D70" s="343"/>
      <c r="E70" s="343"/>
      <c r="F70" s="343"/>
    </row>
    <row r="71" spans="1:6" x14ac:dyDescent="0.25">
      <c r="A71" s="343"/>
      <c r="B71" s="343"/>
      <c r="C71" s="343"/>
      <c r="D71" s="343"/>
      <c r="E71" s="343"/>
      <c r="F71" s="343"/>
    </row>
    <row r="72" spans="1:6" x14ac:dyDescent="0.25">
      <c r="A72" s="343"/>
      <c r="B72" s="343"/>
      <c r="C72" s="343"/>
      <c r="D72" s="343"/>
      <c r="E72" s="343"/>
      <c r="F72" s="343"/>
    </row>
    <row r="73" spans="1:6" x14ac:dyDescent="0.25">
      <c r="A73" s="343"/>
      <c r="B73" s="343"/>
      <c r="C73" s="343"/>
      <c r="D73" s="343"/>
      <c r="E73" s="343"/>
      <c r="F73" s="343"/>
    </row>
    <row r="74" spans="1:6" x14ac:dyDescent="0.25">
      <c r="A74" s="343"/>
      <c r="B74" s="343"/>
      <c r="C74" s="343"/>
      <c r="D74" s="343"/>
      <c r="E74" s="343"/>
      <c r="F74" s="343"/>
    </row>
    <row r="75" spans="1:6" x14ac:dyDescent="0.25">
      <c r="A75" s="343"/>
      <c r="B75" s="343"/>
      <c r="C75" s="343"/>
      <c r="D75" s="343"/>
      <c r="E75" s="343"/>
      <c r="F75" s="343"/>
    </row>
    <row r="76" spans="1:6" x14ac:dyDescent="0.25">
      <c r="A76" s="343"/>
      <c r="B76" s="343"/>
      <c r="C76" s="343"/>
      <c r="D76" s="343"/>
      <c r="E76" s="343"/>
      <c r="F76" s="343"/>
    </row>
    <row r="77" spans="1:6" x14ac:dyDescent="0.25">
      <c r="A77" s="343"/>
      <c r="B77" s="343"/>
      <c r="C77" s="343"/>
      <c r="D77" s="343"/>
      <c r="E77" s="343"/>
      <c r="F77" s="343"/>
    </row>
    <row r="78" spans="1:6" x14ac:dyDescent="0.25">
      <c r="A78" s="343"/>
      <c r="B78" s="343"/>
      <c r="C78" s="343"/>
      <c r="D78" s="343"/>
      <c r="E78" s="343"/>
      <c r="F78" s="343"/>
    </row>
    <row r="79" spans="1:6" x14ac:dyDescent="0.25">
      <c r="A79" s="343"/>
      <c r="B79" s="343"/>
      <c r="C79" s="343"/>
      <c r="D79" s="343"/>
      <c r="E79" s="343"/>
      <c r="F79" s="343"/>
    </row>
    <row r="80" spans="1:6" x14ac:dyDescent="0.25">
      <c r="A80" s="343"/>
      <c r="B80" s="343"/>
      <c r="C80" s="343"/>
      <c r="D80" s="343"/>
      <c r="E80" s="343"/>
      <c r="F80" s="343"/>
    </row>
    <row r="81" spans="1:6" x14ac:dyDescent="0.25">
      <c r="A81" s="343"/>
      <c r="B81" s="343"/>
      <c r="C81" s="343"/>
      <c r="D81" s="343"/>
      <c r="E81" s="343"/>
      <c r="F81" s="343"/>
    </row>
    <row r="82" spans="1:6" x14ac:dyDescent="0.25">
      <c r="A82" s="343"/>
      <c r="B82" s="343"/>
      <c r="C82" s="343"/>
      <c r="D82" s="343"/>
      <c r="E82" s="343"/>
      <c r="F82" s="343"/>
    </row>
    <row r="83" spans="1:6" x14ac:dyDescent="0.25">
      <c r="A83" s="343"/>
      <c r="B83" s="343"/>
      <c r="C83" s="343"/>
      <c r="D83" s="343"/>
      <c r="E83" s="343"/>
      <c r="F83" s="343"/>
    </row>
    <row r="84" spans="1:6" x14ac:dyDescent="0.25">
      <c r="A84" s="343"/>
      <c r="B84" s="343"/>
      <c r="C84" s="343"/>
      <c r="D84" s="343"/>
      <c r="E84" s="343"/>
      <c r="F84" s="343"/>
    </row>
    <row r="85" spans="1:6" x14ac:dyDescent="0.25">
      <c r="A85" s="343"/>
      <c r="B85" s="343"/>
      <c r="C85" s="343"/>
      <c r="D85" s="343"/>
      <c r="E85" s="343"/>
      <c r="F85" s="343"/>
    </row>
    <row r="86" spans="1:6" x14ac:dyDescent="0.25">
      <c r="A86" s="343"/>
      <c r="B86" s="343"/>
      <c r="C86" s="343"/>
      <c r="D86" s="343"/>
      <c r="E86" s="343"/>
      <c r="F86" s="343"/>
    </row>
    <row r="87" spans="1:6" x14ac:dyDescent="0.25">
      <c r="A87" s="343"/>
      <c r="B87" s="343"/>
      <c r="C87" s="343"/>
      <c r="D87" s="343"/>
      <c r="E87" s="343"/>
      <c r="F87" s="343"/>
    </row>
    <row r="88" spans="1:6" x14ac:dyDescent="0.25">
      <c r="A88" s="343"/>
      <c r="B88" s="343"/>
      <c r="C88" s="343"/>
      <c r="D88" s="343"/>
      <c r="E88" s="343"/>
      <c r="F88" s="343"/>
    </row>
    <row r="89" spans="1:6" x14ac:dyDescent="0.25">
      <c r="A89" s="343"/>
      <c r="B89" s="343"/>
      <c r="C89" s="343"/>
      <c r="D89" s="343"/>
      <c r="E89" s="343"/>
      <c r="F89" s="343"/>
    </row>
    <row r="90" spans="1:6" x14ac:dyDescent="0.25">
      <c r="A90" s="343"/>
      <c r="B90" s="343"/>
      <c r="C90" s="343"/>
      <c r="D90" s="343"/>
      <c r="E90" s="343"/>
      <c r="F90" s="343"/>
    </row>
    <row r="91" spans="1:6" x14ac:dyDescent="0.25">
      <c r="A91" s="343"/>
      <c r="B91" s="343"/>
      <c r="C91" s="343"/>
      <c r="D91" s="343"/>
      <c r="E91" s="343"/>
      <c r="F91" s="343"/>
    </row>
    <row r="92" spans="1:6" x14ac:dyDescent="0.25">
      <c r="A92" s="343"/>
      <c r="B92" s="343"/>
      <c r="C92" s="343"/>
      <c r="D92" s="343"/>
      <c r="E92" s="343"/>
      <c r="F92" s="343"/>
    </row>
    <row r="93" spans="1:6" x14ac:dyDescent="0.25">
      <c r="A93" s="343"/>
      <c r="B93" s="343"/>
      <c r="C93" s="343"/>
      <c r="D93" s="343"/>
      <c r="E93" s="343"/>
      <c r="F93" s="343"/>
    </row>
    <row r="94" spans="1:6" x14ac:dyDescent="0.25">
      <c r="A94" s="343"/>
      <c r="B94" s="343"/>
      <c r="C94" s="343"/>
      <c r="D94" s="343"/>
      <c r="E94" s="343"/>
      <c r="F94" s="343"/>
    </row>
    <row r="95" spans="1:6" x14ac:dyDescent="0.25">
      <c r="A95" s="343"/>
      <c r="B95" s="343"/>
      <c r="C95" s="343"/>
      <c r="D95" s="343"/>
      <c r="E95" s="343"/>
      <c r="F95" s="343"/>
    </row>
    <row r="96" spans="1:6" x14ac:dyDescent="0.25">
      <c r="A96" s="343"/>
      <c r="B96" s="343"/>
      <c r="C96" s="343"/>
      <c r="D96" s="343"/>
      <c r="E96" s="343"/>
      <c r="F96" s="343"/>
    </row>
    <row r="97" spans="1:6" x14ac:dyDescent="0.25">
      <c r="A97" s="343"/>
      <c r="B97" s="343"/>
      <c r="C97" s="343"/>
      <c r="D97" s="343"/>
      <c r="E97" s="343"/>
      <c r="F97" s="343"/>
    </row>
    <row r="98" spans="1:6" x14ac:dyDescent="0.25">
      <c r="A98" s="343"/>
      <c r="B98" s="343"/>
      <c r="C98" s="343"/>
      <c r="D98" s="343"/>
      <c r="E98" s="343"/>
      <c r="F98" s="343"/>
    </row>
    <row r="99" spans="1:6" x14ac:dyDescent="0.25">
      <c r="A99" s="343"/>
      <c r="B99" s="343"/>
      <c r="C99" s="343"/>
      <c r="D99" s="343"/>
      <c r="E99" s="343"/>
      <c r="F99" s="343"/>
    </row>
    <row r="100" spans="1:6" x14ac:dyDescent="0.25">
      <c r="A100" s="343"/>
      <c r="B100" s="343"/>
      <c r="C100" s="343"/>
      <c r="D100" s="343"/>
      <c r="E100" s="343"/>
      <c r="F100" s="343"/>
    </row>
    <row r="101" spans="1:6" x14ac:dyDescent="0.25">
      <c r="A101" s="343"/>
      <c r="B101" s="343"/>
      <c r="C101" s="343"/>
      <c r="D101" s="343"/>
      <c r="E101" s="343"/>
      <c r="F101" s="343"/>
    </row>
    <row r="102" spans="1:6" x14ac:dyDescent="0.25">
      <c r="A102" s="343"/>
      <c r="B102" s="343"/>
      <c r="C102" s="343"/>
      <c r="D102" s="343"/>
      <c r="E102" s="343"/>
      <c r="F102" s="343"/>
    </row>
    <row r="103" spans="1:6" x14ac:dyDescent="0.25">
      <c r="A103" s="343"/>
      <c r="B103" s="343"/>
      <c r="C103" s="343"/>
      <c r="D103" s="343"/>
      <c r="E103" s="343"/>
      <c r="F103" s="343"/>
    </row>
    <row r="104" spans="1:6" x14ac:dyDescent="0.25">
      <c r="A104" s="343"/>
      <c r="B104" s="343"/>
      <c r="C104" s="343"/>
      <c r="D104" s="343"/>
      <c r="E104" s="343"/>
      <c r="F104" s="343"/>
    </row>
    <row r="105" spans="1:6" x14ac:dyDescent="0.25">
      <c r="A105" s="343"/>
      <c r="B105" s="343"/>
      <c r="C105" s="343"/>
      <c r="D105" s="343"/>
      <c r="E105" s="343"/>
      <c r="F105" s="343"/>
    </row>
    <row r="106" spans="1:6" x14ac:dyDescent="0.25">
      <c r="A106" s="343"/>
      <c r="B106" s="343"/>
      <c r="C106" s="343"/>
      <c r="D106" s="343"/>
      <c r="E106" s="343"/>
      <c r="F106" s="343"/>
    </row>
    <row r="107" spans="1:6" x14ac:dyDescent="0.25">
      <c r="A107" s="343"/>
      <c r="B107" s="343"/>
      <c r="C107" s="343"/>
      <c r="D107" s="343"/>
      <c r="E107" s="343"/>
      <c r="F107" s="343"/>
    </row>
    <row r="108" spans="1:6" x14ac:dyDescent="0.25">
      <c r="A108" s="343"/>
      <c r="B108" s="343"/>
      <c r="C108" s="343"/>
      <c r="D108" s="343"/>
      <c r="E108" s="343"/>
      <c r="F108" s="343"/>
    </row>
    <row r="109" spans="1:6" x14ac:dyDescent="0.25">
      <c r="A109" s="343"/>
      <c r="B109" s="343"/>
      <c r="C109" s="343"/>
      <c r="D109" s="343"/>
      <c r="E109" s="343"/>
      <c r="F109" s="343"/>
    </row>
    <row r="110" spans="1:6" x14ac:dyDescent="0.25">
      <c r="A110" s="343"/>
      <c r="B110" s="343"/>
      <c r="C110" s="343"/>
      <c r="D110" s="343"/>
      <c r="E110" s="343"/>
      <c r="F110" s="343"/>
    </row>
    <row r="111" spans="1:6" x14ac:dyDescent="0.25">
      <c r="A111" s="343"/>
      <c r="B111" s="343"/>
      <c r="C111" s="343"/>
      <c r="D111" s="343"/>
      <c r="E111" s="343"/>
      <c r="F111" s="343"/>
    </row>
    <row r="112" spans="1:6" x14ac:dyDescent="0.25">
      <c r="A112" s="343"/>
      <c r="B112" s="343"/>
      <c r="C112" s="343"/>
      <c r="D112" s="343"/>
      <c r="E112" s="343"/>
      <c r="F112" s="343"/>
    </row>
    <row r="113" spans="1:6" x14ac:dyDescent="0.25">
      <c r="A113" s="343"/>
      <c r="B113" s="343"/>
      <c r="C113" s="343"/>
      <c r="D113" s="343"/>
      <c r="E113" s="343"/>
      <c r="F113" s="343"/>
    </row>
    <row r="114" spans="1:6" x14ac:dyDescent="0.25">
      <c r="A114" s="343"/>
      <c r="B114" s="343"/>
      <c r="C114" s="343"/>
      <c r="D114" s="343"/>
      <c r="E114" s="343"/>
      <c r="F114" s="343"/>
    </row>
    <row r="115" spans="1:6" x14ac:dyDescent="0.25">
      <c r="A115" s="343"/>
      <c r="B115" s="343"/>
      <c r="C115" s="343"/>
      <c r="D115" s="343"/>
      <c r="E115" s="343"/>
      <c r="F115" s="343"/>
    </row>
    <row r="116" spans="1:6" x14ac:dyDescent="0.25">
      <c r="A116" s="343"/>
      <c r="B116" s="343"/>
      <c r="C116" s="343"/>
      <c r="D116" s="343"/>
      <c r="E116" s="343"/>
      <c r="F116" s="343"/>
    </row>
    <row r="117" spans="1:6" x14ac:dyDescent="0.25">
      <c r="A117" s="343"/>
      <c r="B117" s="343"/>
      <c r="C117" s="343"/>
      <c r="D117" s="343"/>
      <c r="E117" s="343"/>
      <c r="F117" s="343"/>
    </row>
    <row r="118" spans="1:6" x14ac:dyDescent="0.25">
      <c r="A118" s="343"/>
      <c r="B118" s="343"/>
      <c r="C118" s="343"/>
      <c r="D118" s="343"/>
      <c r="E118" s="343"/>
      <c r="F118" s="343"/>
    </row>
    <row r="119" spans="1:6" x14ac:dyDescent="0.25">
      <c r="A119" s="343"/>
      <c r="B119" s="343"/>
      <c r="C119" s="343"/>
      <c r="D119" s="343"/>
      <c r="E119" s="343"/>
      <c r="F119" s="343"/>
    </row>
    <row r="120" spans="1:6" x14ac:dyDescent="0.25">
      <c r="A120" s="343"/>
      <c r="B120" s="343"/>
      <c r="C120" s="343"/>
      <c r="D120" s="343"/>
      <c r="E120" s="343"/>
      <c r="F120" s="343"/>
    </row>
    <row r="121" spans="1:6" x14ac:dyDescent="0.25">
      <c r="A121" s="343"/>
      <c r="B121" s="343"/>
      <c r="C121" s="343"/>
      <c r="D121" s="343"/>
      <c r="E121" s="343"/>
      <c r="F121" s="343"/>
    </row>
    <row r="122" spans="1:6" x14ac:dyDescent="0.25">
      <c r="A122" s="343"/>
      <c r="B122" s="343"/>
      <c r="C122" s="343"/>
      <c r="D122" s="343"/>
      <c r="E122" s="343"/>
      <c r="F122" s="343"/>
    </row>
    <row r="123" spans="1:6" x14ac:dyDescent="0.25">
      <c r="A123" s="343"/>
      <c r="B123" s="343"/>
      <c r="C123" s="343"/>
      <c r="D123" s="343"/>
      <c r="E123" s="343"/>
      <c r="F123" s="343"/>
    </row>
    <row r="124" spans="1:6" x14ac:dyDescent="0.25">
      <c r="A124" s="343"/>
      <c r="B124" s="343"/>
      <c r="C124" s="343"/>
      <c r="D124" s="343"/>
      <c r="E124" s="343"/>
      <c r="F124" s="343"/>
    </row>
    <row r="125" spans="1:6" x14ac:dyDescent="0.25">
      <c r="A125" s="343"/>
      <c r="B125" s="343"/>
      <c r="C125" s="343"/>
      <c r="D125" s="343"/>
      <c r="E125" s="343"/>
      <c r="F125" s="343"/>
    </row>
    <row r="126" spans="1:6" x14ac:dyDescent="0.25">
      <c r="A126" s="343"/>
      <c r="B126" s="343"/>
      <c r="C126" s="343"/>
      <c r="D126" s="343"/>
      <c r="E126" s="343"/>
      <c r="F126" s="343"/>
    </row>
    <row r="127" spans="1:6" x14ac:dyDescent="0.25">
      <c r="A127" s="343"/>
      <c r="B127" s="343"/>
      <c r="C127" s="343"/>
      <c r="D127" s="343"/>
      <c r="E127" s="343"/>
      <c r="F127" s="343"/>
    </row>
    <row r="128" spans="1:6" x14ac:dyDescent="0.25">
      <c r="A128" s="343"/>
      <c r="B128" s="343"/>
      <c r="C128" s="343"/>
      <c r="D128" s="343"/>
      <c r="E128" s="343"/>
      <c r="F128" s="343"/>
    </row>
    <row r="129" spans="1:6" x14ac:dyDescent="0.25">
      <c r="A129" s="343"/>
      <c r="B129" s="343"/>
      <c r="C129" s="343"/>
      <c r="D129" s="343"/>
      <c r="E129" s="343"/>
      <c r="F129" s="343"/>
    </row>
    <row r="130" spans="1:6" x14ac:dyDescent="0.25">
      <c r="A130" s="343"/>
      <c r="B130" s="343"/>
      <c r="C130" s="343"/>
      <c r="D130" s="343"/>
      <c r="E130" s="343"/>
      <c r="F130" s="343"/>
    </row>
    <row r="131" spans="1:6" x14ac:dyDescent="0.25">
      <c r="A131" s="343"/>
      <c r="B131" s="343"/>
      <c r="C131" s="343"/>
      <c r="D131" s="343"/>
      <c r="E131" s="343"/>
      <c r="F131" s="343"/>
    </row>
    <row r="132" spans="1:6" x14ac:dyDescent="0.25">
      <c r="A132" s="343"/>
      <c r="B132" s="343"/>
      <c r="C132" s="343"/>
      <c r="D132" s="343"/>
      <c r="E132" s="343"/>
      <c r="F132" s="343"/>
    </row>
    <row r="133" spans="1:6" x14ac:dyDescent="0.25">
      <c r="A133" s="343"/>
      <c r="B133" s="343"/>
      <c r="C133" s="343"/>
      <c r="D133" s="343"/>
      <c r="E133" s="343"/>
      <c r="F133" s="343"/>
    </row>
    <row r="134" spans="1:6" x14ac:dyDescent="0.25">
      <c r="A134" s="343"/>
      <c r="B134" s="343"/>
      <c r="C134" s="343"/>
      <c r="D134" s="343"/>
      <c r="E134" s="343"/>
      <c r="F134" s="343"/>
    </row>
    <row r="135" spans="1:6" x14ac:dyDescent="0.25">
      <c r="A135" s="343"/>
      <c r="B135" s="343"/>
      <c r="C135" s="343"/>
      <c r="D135" s="343"/>
      <c r="E135" s="343"/>
      <c r="F135" s="343"/>
    </row>
    <row r="136" spans="1:6" x14ac:dyDescent="0.25">
      <c r="A136" s="343"/>
      <c r="B136" s="343"/>
      <c r="C136" s="343"/>
      <c r="D136" s="343"/>
      <c r="E136" s="343"/>
      <c r="F136" s="343"/>
    </row>
    <row r="137" spans="1:6" x14ac:dyDescent="0.25">
      <c r="A137" s="343"/>
      <c r="B137" s="343"/>
      <c r="C137" s="343"/>
      <c r="D137" s="343"/>
      <c r="E137" s="343"/>
      <c r="F137" s="343"/>
    </row>
    <row r="138" spans="1:6" x14ac:dyDescent="0.25">
      <c r="A138" s="343"/>
      <c r="B138" s="343"/>
      <c r="C138" s="343"/>
      <c r="D138" s="343"/>
      <c r="E138" s="343"/>
      <c r="F138" s="343"/>
    </row>
    <row r="139" spans="1:6" x14ac:dyDescent="0.25">
      <c r="A139" s="343"/>
      <c r="B139" s="343"/>
      <c r="C139" s="343"/>
      <c r="D139" s="343"/>
      <c r="E139" s="343"/>
      <c r="F139" s="343"/>
    </row>
    <row r="140" spans="1:6" x14ac:dyDescent="0.25">
      <c r="A140" s="343"/>
      <c r="B140" s="343"/>
      <c r="C140" s="343"/>
      <c r="D140" s="343"/>
      <c r="E140" s="343"/>
      <c r="F140" s="343"/>
    </row>
    <row r="141" spans="1:6" x14ac:dyDescent="0.25">
      <c r="A141" s="343"/>
      <c r="B141" s="343"/>
      <c r="C141" s="343"/>
      <c r="D141" s="343"/>
      <c r="E141" s="343"/>
      <c r="F141" s="343"/>
    </row>
    <row r="142" spans="1:6" x14ac:dyDescent="0.25">
      <c r="A142" s="343"/>
      <c r="B142" s="343"/>
      <c r="C142" s="343"/>
      <c r="D142" s="343"/>
      <c r="E142" s="343"/>
      <c r="F142" s="343"/>
    </row>
    <row r="143" spans="1:6" x14ac:dyDescent="0.25">
      <c r="A143" s="343"/>
      <c r="B143" s="343"/>
      <c r="C143" s="343"/>
      <c r="D143" s="343"/>
      <c r="E143" s="343"/>
      <c r="F143" s="343"/>
    </row>
    <row r="144" spans="1:6" x14ac:dyDescent="0.25">
      <c r="A144" s="343"/>
      <c r="B144" s="343"/>
      <c r="C144" s="343"/>
      <c r="D144" s="343"/>
      <c r="E144" s="343"/>
      <c r="F144" s="343"/>
    </row>
    <row r="145" spans="1:6" x14ac:dyDescent="0.25">
      <c r="A145" s="343"/>
      <c r="B145" s="343"/>
      <c r="C145" s="343"/>
      <c r="D145" s="343"/>
      <c r="E145" s="343"/>
      <c r="F145" s="343"/>
    </row>
    <row r="146" spans="1:6" x14ac:dyDescent="0.25">
      <c r="A146" s="343"/>
      <c r="B146" s="343"/>
      <c r="C146" s="343"/>
      <c r="D146" s="343"/>
      <c r="E146" s="343"/>
      <c r="F146" s="343"/>
    </row>
    <row r="147" spans="1:6" x14ac:dyDescent="0.25">
      <c r="A147" s="343"/>
      <c r="B147" s="343"/>
      <c r="C147" s="343"/>
      <c r="D147" s="343"/>
      <c r="E147" s="343"/>
      <c r="F147" s="343"/>
    </row>
    <row r="148" spans="1:6" x14ac:dyDescent="0.25">
      <c r="A148" s="343"/>
      <c r="B148" s="343"/>
      <c r="C148" s="343"/>
      <c r="D148" s="343"/>
      <c r="E148" s="343"/>
      <c r="F148" s="343"/>
    </row>
    <row r="149" spans="1:6" x14ac:dyDescent="0.25">
      <c r="A149" s="343"/>
      <c r="B149" s="343"/>
      <c r="C149" s="343"/>
      <c r="D149" s="343"/>
      <c r="E149" s="343"/>
      <c r="F149" s="343"/>
    </row>
    <row r="150" spans="1:6" x14ac:dyDescent="0.25">
      <c r="A150" s="343"/>
      <c r="B150" s="343"/>
      <c r="C150" s="343"/>
      <c r="D150" s="343"/>
      <c r="E150" s="343"/>
      <c r="F150" s="343"/>
    </row>
    <row r="151" spans="1:6" x14ac:dyDescent="0.25">
      <c r="A151" s="343"/>
      <c r="B151" s="343"/>
      <c r="C151" s="343"/>
      <c r="D151" s="343"/>
      <c r="E151" s="343"/>
      <c r="F151" s="343"/>
    </row>
    <row r="152" spans="1:6" x14ac:dyDescent="0.25">
      <c r="A152" s="343"/>
      <c r="B152" s="343"/>
      <c r="C152" s="343"/>
      <c r="D152" s="343"/>
      <c r="E152" s="343"/>
      <c r="F152" s="343"/>
    </row>
    <row r="153" spans="1:6" x14ac:dyDescent="0.25">
      <c r="A153" s="343"/>
      <c r="B153" s="343"/>
      <c r="C153" s="343"/>
      <c r="D153" s="343"/>
      <c r="E153" s="343"/>
      <c r="F153" s="343"/>
    </row>
    <row r="154" spans="1:6" x14ac:dyDescent="0.25">
      <c r="A154" s="343"/>
      <c r="B154" s="343"/>
      <c r="C154" s="343"/>
      <c r="D154" s="343"/>
      <c r="E154" s="343"/>
      <c r="F154" s="343"/>
    </row>
    <row r="155" spans="1:6" x14ac:dyDescent="0.25">
      <c r="A155" s="343"/>
      <c r="B155" s="343"/>
      <c r="C155" s="343"/>
      <c r="D155" s="343"/>
      <c r="E155" s="343"/>
      <c r="F155" s="343"/>
    </row>
    <row r="156" spans="1:6" x14ac:dyDescent="0.25">
      <c r="A156" s="343"/>
      <c r="B156" s="343"/>
      <c r="C156" s="343"/>
      <c r="D156" s="343"/>
      <c r="E156" s="343"/>
      <c r="F156" s="343"/>
    </row>
    <row r="157" spans="1:6" x14ac:dyDescent="0.25">
      <c r="A157" s="343"/>
      <c r="B157" s="343"/>
      <c r="C157" s="343"/>
      <c r="D157" s="343"/>
      <c r="E157" s="343"/>
      <c r="F157" s="343"/>
    </row>
    <row r="158" spans="1:6" x14ac:dyDescent="0.25">
      <c r="A158" s="343"/>
      <c r="B158" s="343"/>
      <c r="C158" s="343"/>
      <c r="D158" s="343"/>
      <c r="E158" s="343"/>
      <c r="F158" s="343"/>
    </row>
    <row r="159" spans="1:6" x14ac:dyDescent="0.25">
      <c r="A159" s="343"/>
      <c r="B159" s="343"/>
      <c r="C159" s="343"/>
      <c r="D159" s="343"/>
      <c r="E159" s="343"/>
      <c r="F159" s="343"/>
    </row>
    <row r="160" spans="1:6" x14ac:dyDescent="0.25">
      <c r="A160" s="343"/>
      <c r="B160" s="343"/>
      <c r="C160" s="343"/>
      <c r="D160" s="343"/>
      <c r="E160" s="343"/>
      <c r="F160" s="343"/>
    </row>
    <row r="161" spans="1:6" x14ac:dyDescent="0.25">
      <c r="A161" s="343"/>
      <c r="B161" s="343"/>
      <c r="C161" s="343"/>
      <c r="D161" s="343"/>
      <c r="E161" s="343"/>
      <c r="F161" s="343"/>
    </row>
    <row r="162" spans="1:6" x14ac:dyDescent="0.25">
      <c r="A162" s="343"/>
      <c r="B162" s="343"/>
      <c r="C162" s="343"/>
      <c r="D162" s="343"/>
      <c r="E162" s="343"/>
      <c r="F162" s="343"/>
    </row>
    <row r="163" spans="1:6" x14ac:dyDescent="0.25">
      <c r="A163" s="343"/>
      <c r="B163" s="343"/>
      <c r="C163" s="343"/>
      <c r="D163" s="343"/>
      <c r="E163" s="343"/>
      <c r="F163" s="343"/>
    </row>
    <row r="164" spans="1:6" x14ac:dyDescent="0.25">
      <c r="A164" s="343"/>
      <c r="B164" s="343"/>
      <c r="C164" s="343"/>
      <c r="D164" s="343"/>
      <c r="E164" s="343"/>
      <c r="F164" s="343"/>
    </row>
    <row r="165" spans="1:6" x14ac:dyDescent="0.25">
      <c r="A165" s="343"/>
      <c r="B165" s="343"/>
      <c r="C165" s="343"/>
      <c r="D165" s="343"/>
      <c r="E165" s="343"/>
      <c r="F165" s="343"/>
    </row>
    <row r="166" spans="1:6" x14ac:dyDescent="0.25">
      <c r="A166" s="343"/>
      <c r="B166" s="343"/>
      <c r="C166" s="343"/>
      <c r="D166" s="343"/>
      <c r="E166" s="343"/>
      <c r="F166" s="343"/>
    </row>
    <row r="167" spans="1:6" x14ac:dyDescent="0.25">
      <c r="A167" s="343"/>
      <c r="B167" s="343"/>
      <c r="C167" s="343"/>
      <c r="D167" s="343"/>
      <c r="E167" s="343"/>
      <c r="F167" s="343"/>
    </row>
    <row r="168" spans="1:6" x14ac:dyDescent="0.25">
      <c r="A168" s="343"/>
      <c r="B168" s="343"/>
      <c r="C168" s="343"/>
      <c r="D168" s="343"/>
      <c r="E168" s="343"/>
      <c r="F168" s="343"/>
    </row>
    <row r="169" spans="1:6" x14ac:dyDescent="0.25">
      <c r="A169" s="343"/>
      <c r="B169" s="343"/>
      <c r="C169" s="343"/>
      <c r="D169" s="343"/>
      <c r="E169" s="343"/>
      <c r="F169" s="343"/>
    </row>
    <row r="170" spans="1:6" x14ac:dyDescent="0.25">
      <c r="A170" s="343"/>
      <c r="B170" s="343"/>
      <c r="C170" s="343"/>
      <c r="D170" s="343"/>
      <c r="E170" s="343"/>
      <c r="F170" s="343"/>
    </row>
    <row r="171" spans="1:6" x14ac:dyDescent="0.25">
      <c r="A171" s="343"/>
      <c r="B171" s="343"/>
      <c r="C171" s="343"/>
      <c r="D171" s="343"/>
      <c r="E171" s="343"/>
      <c r="F171" s="343"/>
    </row>
    <row r="172" spans="1:6" x14ac:dyDescent="0.25">
      <c r="A172" s="343"/>
      <c r="B172" s="343"/>
      <c r="C172" s="343"/>
      <c r="D172" s="343"/>
      <c r="E172" s="343"/>
      <c r="F172" s="343"/>
    </row>
    <row r="173" spans="1:6" x14ac:dyDescent="0.25">
      <c r="A173" s="343"/>
      <c r="B173" s="343"/>
      <c r="C173" s="343"/>
      <c r="D173" s="343"/>
      <c r="E173" s="343"/>
      <c r="F173" s="343"/>
    </row>
    <row r="174" spans="1:6" x14ac:dyDescent="0.25">
      <c r="A174" s="343"/>
      <c r="B174" s="343"/>
      <c r="C174" s="343"/>
      <c r="D174" s="343"/>
      <c r="E174" s="343"/>
      <c r="F174" s="343"/>
    </row>
    <row r="175" spans="1:6" x14ac:dyDescent="0.25">
      <c r="A175" s="343"/>
      <c r="B175" s="343"/>
      <c r="C175" s="343"/>
      <c r="D175" s="343"/>
      <c r="E175" s="343"/>
      <c r="F175" s="343"/>
    </row>
    <row r="176" spans="1:6" x14ac:dyDescent="0.25">
      <c r="A176" s="343"/>
      <c r="B176" s="343"/>
      <c r="C176" s="343"/>
      <c r="D176" s="343"/>
      <c r="E176" s="343"/>
      <c r="F176" s="343"/>
    </row>
    <row r="177" spans="1:6" x14ac:dyDescent="0.25">
      <c r="A177" s="343"/>
      <c r="B177" s="343"/>
      <c r="C177" s="343"/>
      <c r="D177" s="343"/>
      <c r="E177" s="343"/>
      <c r="F177" s="343"/>
    </row>
    <row r="178" spans="1:6" x14ac:dyDescent="0.25">
      <c r="A178" s="343"/>
      <c r="B178" s="343"/>
      <c r="C178" s="343"/>
      <c r="D178" s="343"/>
      <c r="E178" s="343"/>
      <c r="F178" s="343"/>
    </row>
    <row r="179" spans="1:6" x14ac:dyDescent="0.25">
      <c r="A179" s="343"/>
      <c r="B179" s="343"/>
      <c r="C179" s="343"/>
      <c r="D179" s="343"/>
      <c r="E179" s="343"/>
      <c r="F179" s="343"/>
    </row>
    <row r="180" spans="1:6" x14ac:dyDescent="0.25">
      <c r="A180" s="343"/>
      <c r="B180" s="343"/>
      <c r="C180" s="343"/>
      <c r="D180" s="343"/>
      <c r="E180" s="343"/>
      <c r="F180" s="343"/>
    </row>
    <row r="181" spans="1:6" x14ac:dyDescent="0.25">
      <c r="A181" s="343"/>
      <c r="B181" s="343"/>
      <c r="C181" s="343"/>
      <c r="D181" s="343"/>
      <c r="E181" s="343"/>
      <c r="F181" s="343"/>
    </row>
    <row r="182" spans="1:6" x14ac:dyDescent="0.25">
      <c r="A182" s="343"/>
      <c r="B182" s="343"/>
      <c r="C182" s="343"/>
      <c r="D182" s="343"/>
      <c r="E182" s="343"/>
      <c r="F182" s="343"/>
    </row>
    <row r="183" spans="1:6" x14ac:dyDescent="0.25">
      <c r="A183" s="343"/>
      <c r="B183" s="343"/>
      <c r="C183" s="343"/>
      <c r="D183" s="343"/>
      <c r="E183" s="343"/>
      <c r="F183" s="343"/>
    </row>
    <row r="184" spans="1:6" x14ac:dyDescent="0.25">
      <c r="A184" s="343"/>
      <c r="B184" s="343"/>
      <c r="C184" s="343"/>
      <c r="D184" s="343"/>
      <c r="E184" s="343"/>
      <c r="F184" s="343"/>
    </row>
    <row r="185" spans="1:6" x14ac:dyDescent="0.25">
      <c r="A185" s="343"/>
      <c r="B185" s="343"/>
      <c r="C185" s="343"/>
      <c r="D185" s="343"/>
      <c r="E185" s="343"/>
      <c r="F185" s="343"/>
    </row>
    <row r="186" spans="1:6" x14ac:dyDescent="0.25">
      <c r="A186" s="343"/>
      <c r="B186" s="343"/>
      <c r="C186" s="343"/>
      <c r="D186" s="343"/>
      <c r="E186" s="343"/>
      <c r="F186" s="343"/>
    </row>
    <row r="187" spans="1:6" x14ac:dyDescent="0.25">
      <c r="A187" s="343"/>
      <c r="B187" s="343"/>
      <c r="C187" s="343"/>
      <c r="D187" s="343"/>
      <c r="E187" s="343"/>
      <c r="F187" s="343"/>
    </row>
    <row r="188" spans="1:6" x14ac:dyDescent="0.25">
      <c r="A188" s="343"/>
      <c r="B188" s="343"/>
      <c r="C188" s="343"/>
      <c r="D188" s="343"/>
      <c r="E188" s="343"/>
      <c r="F188" s="343"/>
    </row>
    <row r="189" spans="1:6" x14ac:dyDescent="0.25">
      <c r="A189" s="343"/>
      <c r="B189" s="343"/>
      <c r="C189" s="343"/>
      <c r="D189" s="343"/>
      <c r="E189" s="343"/>
      <c r="F189" s="343"/>
    </row>
    <row r="190" spans="1:6" x14ac:dyDescent="0.25">
      <c r="A190" s="343"/>
      <c r="B190" s="343"/>
      <c r="C190" s="343"/>
      <c r="D190" s="343"/>
      <c r="E190" s="343"/>
      <c r="F190" s="343"/>
    </row>
    <row r="191" spans="1:6" x14ac:dyDescent="0.25">
      <c r="A191" s="343"/>
      <c r="B191" s="343"/>
      <c r="C191" s="343"/>
      <c r="D191" s="343"/>
      <c r="E191" s="343"/>
      <c r="F191" s="343"/>
    </row>
    <row r="192" spans="1:6" x14ac:dyDescent="0.25">
      <c r="A192" s="343"/>
      <c r="B192" s="343"/>
      <c r="C192" s="343"/>
      <c r="D192" s="343"/>
      <c r="E192" s="343"/>
      <c r="F192" s="343"/>
    </row>
    <row r="193" spans="1:6" x14ac:dyDescent="0.25">
      <c r="A193" s="343"/>
      <c r="B193" s="343"/>
      <c r="C193" s="343"/>
      <c r="D193" s="343"/>
      <c r="E193" s="343"/>
      <c r="F193" s="343"/>
    </row>
    <row r="194" spans="1:6" x14ac:dyDescent="0.25">
      <c r="A194" s="343"/>
      <c r="B194" s="343"/>
      <c r="C194" s="343"/>
      <c r="D194" s="343"/>
      <c r="E194" s="343"/>
      <c r="F194" s="343"/>
    </row>
    <row r="195" spans="1:6" x14ac:dyDescent="0.25">
      <c r="A195" s="343"/>
      <c r="B195" s="343"/>
      <c r="C195" s="343"/>
      <c r="D195" s="343"/>
      <c r="E195" s="343"/>
      <c r="F195" s="343"/>
    </row>
    <row r="196" spans="1:6" x14ac:dyDescent="0.25">
      <c r="A196" s="343"/>
      <c r="B196" s="343"/>
      <c r="C196" s="343"/>
      <c r="D196" s="343"/>
      <c r="E196" s="343"/>
      <c r="F196" s="343"/>
    </row>
    <row r="197" spans="1:6" x14ac:dyDescent="0.25">
      <c r="A197" s="343"/>
      <c r="B197" s="343"/>
      <c r="C197" s="343"/>
      <c r="D197" s="343"/>
      <c r="E197" s="343"/>
      <c r="F197" s="343"/>
    </row>
    <row r="198" spans="1:6" x14ac:dyDescent="0.25">
      <c r="A198" s="343"/>
      <c r="B198" s="343"/>
      <c r="C198" s="343"/>
      <c r="D198" s="343"/>
      <c r="E198" s="343"/>
      <c r="F198" s="343"/>
    </row>
    <row r="199" spans="1:6" x14ac:dyDescent="0.25">
      <c r="A199" s="343"/>
      <c r="B199" s="343"/>
      <c r="C199" s="343"/>
      <c r="D199" s="343"/>
      <c r="E199" s="343"/>
      <c r="F199" s="343"/>
    </row>
    <row r="200" spans="1:6" x14ac:dyDescent="0.25">
      <c r="A200" s="343"/>
      <c r="B200" s="343"/>
      <c r="C200" s="343"/>
      <c r="D200" s="343"/>
      <c r="E200" s="343"/>
      <c r="F200" s="343"/>
    </row>
    <row r="201" spans="1:6" x14ac:dyDescent="0.25">
      <c r="A201" s="343"/>
      <c r="B201" s="343"/>
      <c r="C201" s="343"/>
      <c r="D201" s="343"/>
      <c r="E201" s="343"/>
      <c r="F201" s="343"/>
    </row>
    <row r="202" spans="1:6" x14ac:dyDescent="0.25">
      <c r="A202" s="343"/>
      <c r="B202" s="343"/>
      <c r="C202" s="343"/>
      <c r="D202" s="343"/>
      <c r="E202" s="343"/>
      <c r="F202" s="343"/>
    </row>
    <row r="203" spans="1:6" x14ac:dyDescent="0.25">
      <c r="A203" s="343"/>
      <c r="B203" s="343"/>
      <c r="C203" s="343"/>
      <c r="D203" s="343"/>
      <c r="E203" s="343"/>
      <c r="F203" s="343"/>
    </row>
    <row r="204" spans="1:6" x14ac:dyDescent="0.25">
      <c r="A204" s="343"/>
      <c r="B204" s="343"/>
      <c r="C204" s="343"/>
      <c r="D204" s="343"/>
      <c r="E204" s="343"/>
      <c r="F204" s="343"/>
    </row>
    <row r="205" spans="1:6" x14ac:dyDescent="0.25">
      <c r="A205" s="343"/>
      <c r="B205" s="343"/>
      <c r="C205" s="343"/>
      <c r="D205" s="343"/>
      <c r="E205" s="343"/>
      <c r="F205" s="343"/>
    </row>
    <row r="206" spans="1:6" x14ac:dyDescent="0.25">
      <c r="A206" s="343"/>
      <c r="B206" s="343"/>
      <c r="C206" s="343"/>
      <c r="D206" s="343"/>
      <c r="E206" s="343"/>
      <c r="F206" s="343"/>
    </row>
    <row r="207" spans="1:6" x14ac:dyDescent="0.25">
      <c r="A207" s="343"/>
      <c r="B207" s="343"/>
      <c r="C207" s="343"/>
      <c r="D207" s="343"/>
      <c r="E207" s="343"/>
      <c r="F207" s="343"/>
    </row>
    <row r="208" spans="1:6" x14ac:dyDescent="0.25">
      <c r="A208" s="343"/>
      <c r="B208" s="343"/>
      <c r="C208" s="343"/>
      <c r="D208" s="343"/>
      <c r="E208" s="343"/>
      <c r="F208" s="343"/>
    </row>
    <row r="209" spans="1:6" x14ac:dyDescent="0.25">
      <c r="A209" s="343"/>
      <c r="B209" s="343"/>
      <c r="C209" s="343"/>
      <c r="D209" s="343"/>
      <c r="E209" s="343"/>
      <c r="F209" s="343"/>
    </row>
    <row r="210" spans="1:6" x14ac:dyDescent="0.25">
      <c r="A210" s="343"/>
      <c r="B210" s="343"/>
      <c r="C210" s="343"/>
      <c r="D210" s="343"/>
      <c r="E210" s="343"/>
      <c r="F210" s="343"/>
    </row>
    <row r="211" spans="1:6" x14ac:dyDescent="0.25">
      <c r="A211" s="343"/>
      <c r="B211" s="343"/>
      <c r="C211" s="343"/>
      <c r="D211" s="343"/>
      <c r="E211" s="343"/>
      <c r="F211" s="343"/>
    </row>
    <row r="212" spans="1:6" x14ac:dyDescent="0.25">
      <c r="A212" s="343"/>
      <c r="B212" s="343"/>
      <c r="C212" s="343"/>
      <c r="D212" s="343"/>
      <c r="E212" s="343"/>
      <c r="F212" s="343"/>
    </row>
    <row r="213" spans="1:6" x14ac:dyDescent="0.25">
      <c r="A213" s="343"/>
      <c r="B213" s="343"/>
      <c r="C213" s="343"/>
      <c r="D213" s="343"/>
      <c r="E213" s="343"/>
      <c r="F213" s="343"/>
    </row>
    <row r="214" spans="1:6" x14ac:dyDescent="0.25">
      <c r="A214" s="343"/>
      <c r="B214" s="343"/>
      <c r="C214" s="343"/>
      <c r="D214" s="343"/>
      <c r="E214" s="343"/>
      <c r="F214" s="343"/>
    </row>
    <row r="215" spans="1:6" x14ac:dyDescent="0.25">
      <c r="A215" s="343"/>
      <c r="B215" s="343"/>
      <c r="C215" s="343"/>
      <c r="D215" s="343"/>
      <c r="E215" s="343"/>
      <c r="F215" s="343"/>
    </row>
    <row r="216" spans="1:6" x14ac:dyDescent="0.25">
      <c r="A216" s="343"/>
      <c r="B216" s="343"/>
      <c r="C216" s="343"/>
      <c r="D216" s="343"/>
      <c r="E216" s="343"/>
      <c r="F216" s="343"/>
    </row>
    <row r="217" spans="1:6" x14ac:dyDescent="0.25">
      <c r="A217" s="343"/>
      <c r="B217" s="343"/>
      <c r="C217" s="343"/>
      <c r="D217" s="343"/>
      <c r="E217" s="343"/>
      <c r="F217" s="343"/>
    </row>
    <row r="218" spans="1:6" x14ac:dyDescent="0.25">
      <c r="A218" s="343"/>
      <c r="B218" s="343"/>
      <c r="C218" s="343"/>
      <c r="D218" s="343"/>
      <c r="E218" s="343"/>
      <c r="F218" s="343"/>
    </row>
    <row r="219" spans="1:6" x14ac:dyDescent="0.25">
      <c r="A219" s="343"/>
      <c r="B219" s="343"/>
      <c r="C219" s="343"/>
      <c r="D219" s="343"/>
      <c r="E219" s="343"/>
      <c r="F219" s="343"/>
    </row>
    <row r="220" spans="1:6" x14ac:dyDescent="0.25">
      <c r="A220" s="343"/>
      <c r="B220" s="343"/>
      <c r="C220" s="343"/>
      <c r="D220" s="343"/>
      <c r="E220" s="343"/>
      <c r="F220" s="343"/>
    </row>
    <row r="221" spans="1:6" x14ac:dyDescent="0.25">
      <c r="A221" s="343"/>
      <c r="B221" s="343"/>
      <c r="C221" s="343"/>
      <c r="D221" s="343"/>
      <c r="E221" s="343"/>
      <c r="F221" s="343"/>
    </row>
    <row r="222" spans="1:6" x14ac:dyDescent="0.25">
      <c r="A222" s="343"/>
      <c r="B222" s="343"/>
      <c r="C222" s="343"/>
      <c r="D222" s="343"/>
      <c r="E222" s="343"/>
      <c r="F222" s="343"/>
    </row>
    <row r="223" spans="1:6" x14ac:dyDescent="0.25">
      <c r="A223" s="343"/>
      <c r="B223" s="343"/>
      <c r="C223" s="343"/>
      <c r="D223" s="343"/>
      <c r="E223" s="343"/>
      <c r="F223" s="343"/>
    </row>
    <row r="224" spans="1:6" x14ac:dyDescent="0.25">
      <c r="A224" s="343"/>
      <c r="B224" s="343"/>
      <c r="C224" s="343"/>
      <c r="D224" s="343"/>
      <c r="E224" s="343"/>
      <c r="F224" s="343"/>
    </row>
    <row r="225" spans="1:6" x14ac:dyDescent="0.25">
      <c r="A225" s="343"/>
      <c r="B225" s="343"/>
      <c r="C225" s="343"/>
      <c r="D225" s="343"/>
      <c r="E225" s="343"/>
      <c r="F225" s="343"/>
    </row>
    <row r="226" spans="1:6" x14ac:dyDescent="0.25">
      <c r="A226" s="343"/>
      <c r="B226" s="343"/>
      <c r="C226" s="343"/>
      <c r="D226" s="343"/>
      <c r="E226" s="343"/>
      <c r="F226" s="343"/>
    </row>
    <row r="227" spans="1:6" x14ac:dyDescent="0.25">
      <c r="A227" s="343"/>
      <c r="B227" s="343"/>
      <c r="C227" s="343"/>
      <c r="D227" s="343"/>
      <c r="E227" s="343"/>
      <c r="F227" s="343"/>
    </row>
    <row r="228" spans="1:6" x14ac:dyDescent="0.25">
      <c r="A228" s="343"/>
      <c r="B228" s="343"/>
      <c r="C228" s="343"/>
      <c r="D228" s="343"/>
      <c r="E228" s="343"/>
      <c r="F228" s="343"/>
    </row>
    <row r="229" spans="1:6" x14ac:dyDescent="0.25">
      <c r="A229" s="343"/>
      <c r="B229" s="343"/>
      <c r="C229" s="343"/>
      <c r="D229" s="343"/>
      <c r="E229" s="343"/>
      <c r="F229" s="343"/>
    </row>
    <row r="230" spans="1:6" x14ac:dyDescent="0.25">
      <c r="A230" s="343"/>
      <c r="B230" s="343"/>
      <c r="C230" s="343"/>
      <c r="D230" s="343"/>
      <c r="E230" s="343"/>
      <c r="F230" s="343"/>
    </row>
    <row r="231" spans="1:6" x14ac:dyDescent="0.25">
      <c r="A231" s="343"/>
      <c r="B231" s="343"/>
      <c r="C231" s="343"/>
      <c r="D231" s="343"/>
      <c r="E231" s="343"/>
      <c r="F231" s="343"/>
    </row>
    <row r="232" spans="1:6" x14ac:dyDescent="0.25">
      <c r="A232" s="343"/>
      <c r="B232" s="343"/>
      <c r="C232" s="343"/>
      <c r="D232" s="343"/>
      <c r="E232" s="343"/>
      <c r="F232" s="343"/>
    </row>
    <row r="233" spans="1:6" x14ac:dyDescent="0.25">
      <c r="A233" s="343"/>
      <c r="B233" s="343"/>
      <c r="C233" s="343"/>
      <c r="D233" s="343"/>
      <c r="E233" s="343"/>
      <c r="F233" s="343"/>
    </row>
    <row r="234" spans="1:6" x14ac:dyDescent="0.25">
      <c r="A234" s="343"/>
      <c r="B234" s="343"/>
      <c r="C234" s="343"/>
      <c r="D234" s="343"/>
      <c r="E234" s="343"/>
      <c r="F234" s="343"/>
    </row>
    <row r="235" spans="1:6" x14ac:dyDescent="0.25">
      <c r="A235" s="343"/>
      <c r="B235" s="343"/>
      <c r="C235" s="343"/>
      <c r="D235" s="343"/>
      <c r="E235" s="343"/>
      <c r="F235" s="343"/>
    </row>
    <row r="236" spans="1:6" x14ac:dyDescent="0.25">
      <c r="A236" s="343"/>
      <c r="B236" s="343"/>
      <c r="C236" s="343"/>
      <c r="D236" s="343"/>
      <c r="E236" s="343"/>
      <c r="F236" s="343"/>
    </row>
    <row r="237" spans="1:6" x14ac:dyDescent="0.25">
      <c r="A237" s="343"/>
      <c r="B237" s="343"/>
      <c r="C237" s="343"/>
      <c r="D237" s="343"/>
      <c r="E237" s="343"/>
      <c r="F237" s="343"/>
    </row>
    <row r="238" spans="1:6" x14ac:dyDescent="0.25">
      <c r="A238" s="343"/>
      <c r="B238" s="343"/>
      <c r="C238" s="343"/>
      <c r="D238" s="343"/>
      <c r="E238" s="343"/>
      <c r="F238" s="343"/>
    </row>
    <row r="239" spans="1:6" x14ac:dyDescent="0.25">
      <c r="A239" s="343"/>
      <c r="B239" s="343"/>
      <c r="C239" s="343"/>
      <c r="D239" s="343"/>
      <c r="E239" s="343"/>
      <c r="F239" s="343"/>
    </row>
    <row r="240" spans="1:6" x14ac:dyDescent="0.25">
      <c r="A240" s="343"/>
      <c r="B240" s="343"/>
      <c r="C240" s="343"/>
      <c r="D240" s="343"/>
      <c r="E240" s="343"/>
      <c r="F240" s="343"/>
    </row>
    <row r="241" spans="1:6" x14ac:dyDescent="0.25">
      <c r="A241" s="343"/>
      <c r="B241" s="343"/>
      <c r="C241" s="343"/>
      <c r="D241" s="343"/>
      <c r="E241" s="343"/>
      <c r="F241" s="343"/>
    </row>
    <row r="242" spans="1:6" x14ac:dyDescent="0.25">
      <c r="A242" s="343"/>
      <c r="B242" s="343"/>
      <c r="C242" s="343"/>
      <c r="D242" s="343"/>
      <c r="E242" s="343"/>
      <c r="F242" s="343"/>
    </row>
    <row r="243" spans="1:6" x14ac:dyDescent="0.25">
      <c r="A243" s="343"/>
      <c r="B243" s="343"/>
      <c r="C243" s="343"/>
      <c r="D243" s="343"/>
      <c r="E243" s="343"/>
      <c r="F243" s="343"/>
    </row>
    <row r="244" spans="1:6" x14ac:dyDescent="0.25">
      <c r="A244" s="343"/>
      <c r="B244" s="343"/>
      <c r="C244" s="343"/>
      <c r="D244" s="343"/>
      <c r="E244" s="343"/>
      <c r="F244" s="343"/>
    </row>
    <row r="245" spans="1:6" x14ac:dyDescent="0.25">
      <c r="A245" s="343"/>
      <c r="B245" s="343"/>
      <c r="C245" s="343"/>
      <c r="D245" s="343"/>
      <c r="E245" s="343"/>
      <c r="F245" s="343"/>
    </row>
    <row r="246" spans="1:6" x14ac:dyDescent="0.25">
      <c r="A246" s="343"/>
      <c r="B246" s="343"/>
      <c r="C246" s="343"/>
      <c r="D246" s="343"/>
      <c r="E246" s="343"/>
      <c r="F246" s="343"/>
    </row>
    <row r="247" spans="1:6" x14ac:dyDescent="0.25">
      <c r="A247" s="343"/>
      <c r="B247" s="343"/>
      <c r="C247" s="343"/>
      <c r="D247" s="343"/>
      <c r="E247" s="343"/>
      <c r="F247" s="343"/>
    </row>
    <row r="248" spans="1:6" x14ac:dyDescent="0.25">
      <c r="A248" s="343"/>
      <c r="B248" s="343"/>
      <c r="C248" s="343"/>
      <c r="D248" s="343"/>
      <c r="E248" s="343"/>
      <c r="F248" s="343"/>
    </row>
    <row r="249" spans="1:6" x14ac:dyDescent="0.25">
      <c r="A249" s="343"/>
      <c r="B249" s="343"/>
      <c r="C249" s="343"/>
      <c r="D249" s="343"/>
      <c r="E249" s="343"/>
      <c r="F249" s="343"/>
    </row>
    <row r="250" spans="1:6" x14ac:dyDescent="0.25">
      <c r="A250" s="343"/>
      <c r="B250" s="343"/>
      <c r="C250" s="343"/>
      <c r="D250" s="343"/>
      <c r="E250" s="343"/>
      <c r="F250" s="343"/>
    </row>
    <row r="251" spans="1:6" x14ac:dyDescent="0.25">
      <c r="A251" s="343"/>
      <c r="B251" s="343"/>
      <c r="C251" s="343"/>
      <c r="D251" s="343"/>
      <c r="E251" s="343"/>
      <c r="F251" s="343"/>
    </row>
    <row r="252" spans="1:6" x14ac:dyDescent="0.25">
      <c r="A252" s="343"/>
      <c r="B252" s="343"/>
      <c r="C252" s="343"/>
      <c r="D252" s="343"/>
      <c r="E252" s="343"/>
      <c r="F252" s="343"/>
    </row>
    <row r="253" spans="1:6" x14ac:dyDescent="0.25">
      <c r="A253" s="343"/>
      <c r="B253" s="343"/>
      <c r="C253" s="343"/>
      <c r="D253" s="343"/>
      <c r="E253" s="343"/>
      <c r="F253" s="343"/>
    </row>
    <row r="254" spans="1:6" x14ac:dyDescent="0.25">
      <c r="A254" s="343"/>
      <c r="B254" s="343"/>
      <c r="C254" s="343"/>
      <c r="D254" s="343"/>
      <c r="E254" s="343"/>
      <c r="F254" s="343"/>
    </row>
    <row r="255" spans="1:6" x14ac:dyDescent="0.25">
      <c r="A255" s="343"/>
      <c r="B255" s="343"/>
      <c r="C255" s="343"/>
      <c r="D255" s="343"/>
      <c r="E255" s="343"/>
      <c r="F255" s="343"/>
    </row>
    <row r="256" spans="1:6" x14ac:dyDescent="0.25">
      <c r="A256" s="343"/>
      <c r="B256" s="343"/>
      <c r="C256" s="343"/>
      <c r="D256" s="343"/>
      <c r="E256" s="343"/>
      <c r="F256" s="343"/>
    </row>
    <row r="257" spans="1:6" x14ac:dyDescent="0.25">
      <c r="A257" s="343"/>
      <c r="B257" s="343"/>
      <c r="C257" s="343"/>
      <c r="D257" s="343"/>
      <c r="E257" s="343"/>
      <c r="F257" s="343"/>
    </row>
    <row r="258" spans="1:6" x14ac:dyDescent="0.25">
      <c r="A258" s="343"/>
      <c r="B258" s="343"/>
      <c r="C258" s="343"/>
      <c r="D258" s="343"/>
      <c r="E258" s="343"/>
      <c r="F258" s="343"/>
    </row>
    <row r="259" spans="1:6" x14ac:dyDescent="0.25">
      <c r="A259" s="343"/>
      <c r="B259" s="343"/>
      <c r="C259" s="343"/>
      <c r="D259" s="343"/>
      <c r="E259" s="343"/>
      <c r="F259" s="343"/>
    </row>
    <row r="260" spans="1:6" x14ac:dyDescent="0.25">
      <c r="A260" s="343"/>
      <c r="B260" s="343"/>
      <c r="C260" s="343"/>
      <c r="D260" s="343"/>
      <c r="E260" s="343"/>
      <c r="F260" s="343"/>
    </row>
    <row r="261" spans="1:6" x14ac:dyDescent="0.25">
      <c r="A261" s="343"/>
      <c r="B261" s="343"/>
      <c r="C261" s="343"/>
      <c r="D261" s="343"/>
      <c r="E261" s="343"/>
      <c r="F261" s="343"/>
    </row>
    <row r="262" spans="1:6" x14ac:dyDescent="0.25">
      <c r="A262" s="343"/>
      <c r="B262" s="343"/>
      <c r="C262" s="343"/>
      <c r="D262" s="343"/>
      <c r="E262" s="343"/>
      <c r="F262" s="343"/>
    </row>
    <row r="263" spans="1:6" x14ac:dyDescent="0.25">
      <c r="A263" s="343"/>
      <c r="B263" s="343"/>
      <c r="C263" s="343"/>
      <c r="D263" s="343"/>
      <c r="E263" s="343"/>
      <c r="F263" s="343"/>
    </row>
    <row r="264" spans="1:6" x14ac:dyDescent="0.25">
      <c r="A264" s="343"/>
      <c r="B264" s="343"/>
      <c r="C264" s="343"/>
      <c r="D264" s="343"/>
      <c r="E264" s="343"/>
      <c r="F264" s="343"/>
    </row>
    <row r="265" spans="1:6" x14ac:dyDescent="0.25">
      <c r="A265" s="343"/>
      <c r="B265" s="343"/>
      <c r="C265" s="343"/>
      <c r="D265" s="343"/>
      <c r="E265" s="343"/>
      <c r="F265" s="343"/>
    </row>
    <row r="266" spans="1:6" x14ac:dyDescent="0.25">
      <c r="A266" s="343"/>
      <c r="B266" s="343"/>
      <c r="C266" s="343"/>
      <c r="D266" s="343"/>
      <c r="E266" s="343"/>
      <c r="F266" s="343"/>
    </row>
    <row r="267" spans="1:6" x14ac:dyDescent="0.25">
      <c r="A267" s="343"/>
      <c r="B267" s="343"/>
      <c r="C267" s="343"/>
      <c r="D267" s="343"/>
      <c r="E267" s="343"/>
      <c r="F267" s="343"/>
    </row>
    <row r="268" spans="1:6" x14ac:dyDescent="0.25">
      <c r="A268" s="343"/>
      <c r="B268" s="343"/>
      <c r="C268" s="343"/>
      <c r="D268" s="343"/>
      <c r="E268" s="343"/>
      <c r="F268" s="343"/>
    </row>
    <row r="269" spans="1:6" x14ac:dyDescent="0.25">
      <c r="A269" s="343"/>
      <c r="B269" s="343"/>
      <c r="C269" s="343"/>
      <c r="D269" s="343"/>
      <c r="E269" s="343"/>
      <c r="F269" s="343"/>
    </row>
    <row r="270" spans="1:6" x14ac:dyDescent="0.25">
      <c r="A270" s="343"/>
      <c r="B270" s="343"/>
      <c r="C270" s="343"/>
      <c r="D270" s="343"/>
      <c r="E270" s="343"/>
      <c r="F270" s="343"/>
    </row>
    <row r="271" spans="1:6" x14ac:dyDescent="0.25">
      <c r="A271" s="343"/>
      <c r="B271" s="343"/>
      <c r="C271" s="343"/>
      <c r="D271" s="343"/>
      <c r="E271" s="343"/>
      <c r="F271" s="343"/>
    </row>
    <row r="272" spans="1:6" x14ac:dyDescent="0.25">
      <c r="A272" s="343"/>
      <c r="B272" s="343"/>
      <c r="C272" s="343"/>
      <c r="D272" s="343"/>
      <c r="E272" s="343"/>
      <c r="F272" s="343"/>
    </row>
    <row r="273" spans="1:6" x14ac:dyDescent="0.25">
      <c r="A273" s="343"/>
      <c r="B273" s="343"/>
      <c r="C273" s="343"/>
      <c r="D273" s="343"/>
      <c r="E273" s="343"/>
      <c r="F273" s="343"/>
    </row>
    <row r="274" spans="1:6" x14ac:dyDescent="0.25">
      <c r="A274" s="343"/>
      <c r="B274" s="343"/>
      <c r="C274" s="343"/>
      <c r="D274" s="343"/>
      <c r="E274" s="343"/>
      <c r="F274" s="343"/>
    </row>
    <row r="275" spans="1:6" x14ac:dyDescent="0.25">
      <c r="A275" s="343"/>
      <c r="B275" s="343"/>
      <c r="C275" s="343"/>
      <c r="D275" s="343"/>
      <c r="E275" s="343"/>
      <c r="F275" s="343"/>
    </row>
    <row r="276" spans="1:6" x14ac:dyDescent="0.25">
      <c r="A276" s="343"/>
      <c r="B276" s="343"/>
      <c r="C276" s="343"/>
      <c r="D276" s="343"/>
      <c r="E276" s="343"/>
      <c r="F276" s="343"/>
    </row>
    <row r="277" spans="1:6" x14ac:dyDescent="0.25">
      <c r="A277" s="343"/>
      <c r="B277" s="343"/>
      <c r="C277" s="343"/>
      <c r="D277" s="343"/>
      <c r="E277" s="343"/>
      <c r="F277" s="343"/>
    </row>
    <row r="278" spans="1:6" x14ac:dyDescent="0.25">
      <c r="A278" s="343"/>
      <c r="B278" s="343"/>
      <c r="C278" s="343"/>
      <c r="D278" s="343"/>
      <c r="E278" s="343"/>
      <c r="F278" s="343"/>
    </row>
    <row r="279" spans="1:6" x14ac:dyDescent="0.25">
      <c r="A279" s="343"/>
      <c r="B279" s="343"/>
      <c r="C279" s="343"/>
      <c r="D279" s="343"/>
      <c r="E279" s="343"/>
      <c r="F279" s="343"/>
    </row>
    <row r="280" spans="1:6" x14ac:dyDescent="0.25">
      <c r="A280" s="343"/>
      <c r="B280" s="343"/>
      <c r="C280" s="343"/>
      <c r="D280" s="343"/>
      <c r="E280" s="343"/>
      <c r="F280" s="343"/>
    </row>
    <row r="281" spans="1:6" x14ac:dyDescent="0.25">
      <c r="A281" s="343"/>
      <c r="B281" s="343"/>
      <c r="C281" s="343"/>
      <c r="D281" s="343"/>
      <c r="E281" s="343"/>
      <c r="F281" s="343"/>
    </row>
    <row r="282" spans="1:6" x14ac:dyDescent="0.25">
      <c r="A282" s="343"/>
      <c r="B282" s="343"/>
      <c r="C282" s="343"/>
      <c r="D282" s="343"/>
      <c r="E282" s="343"/>
      <c r="F282" s="343"/>
    </row>
    <row r="283" spans="1:6" x14ac:dyDescent="0.25">
      <c r="A283" s="343"/>
      <c r="B283" s="343"/>
      <c r="C283" s="343"/>
      <c r="D283" s="343"/>
      <c r="E283" s="343"/>
      <c r="F283" s="343"/>
    </row>
    <row r="284" spans="1:6" x14ac:dyDescent="0.25">
      <c r="A284" s="343"/>
      <c r="B284" s="343"/>
      <c r="C284" s="343"/>
      <c r="D284" s="343"/>
      <c r="E284" s="343"/>
      <c r="F284" s="343"/>
    </row>
    <row r="285" spans="1:6" x14ac:dyDescent="0.25">
      <c r="A285" s="343"/>
      <c r="B285" s="343"/>
      <c r="C285" s="343"/>
      <c r="D285" s="343"/>
      <c r="E285" s="343"/>
      <c r="F285" s="343"/>
    </row>
    <row r="286" spans="1:6" x14ac:dyDescent="0.25">
      <c r="A286" s="343"/>
      <c r="B286" s="343"/>
      <c r="C286" s="343"/>
      <c r="D286" s="343"/>
      <c r="E286" s="343"/>
      <c r="F286" s="343"/>
    </row>
    <row r="287" spans="1:6" x14ac:dyDescent="0.25">
      <c r="A287" s="343"/>
      <c r="B287" s="343"/>
      <c r="C287" s="343"/>
      <c r="D287" s="343"/>
      <c r="E287" s="343"/>
      <c r="F287" s="343"/>
    </row>
    <row r="288" spans="1:6" x14ac:dyDescent="0.25">
      <c r="A288" s="343"/>
      <c r="B288" s="343"/>
      <c r="C288" s="343"/>
      <c r="D288" s="343"/>
      <c r="E288" s="343"/>
      <c r="F288" s="343"/>
    </row>
    <row r="289" spans="1:6" x14ac:dyDescent="0.25">
      <c r="A289" s="343"/>
      <c r="B289" s="343"/>
      <c r="C289" s="343"/>
      <c r="D289" s="343"/>
      <c r="E289" s="343"/>
      <c r="F289" s="343"/>
    </row>
    <row r="290" spans="1:6" x14ac:dyDescent="0.25">
      <c r="A290" s="343"/>
      <c r="B290" s="343"/>
      <c r="C290" s="343"/>
      <c r="D290" s="343"/>
      <c r="E290" s="343"/>
      <c r="F290" s="343"/>
    </row>
    <row r="291" spans="1:6" x14ac:dyDescent="0.25">
      <c r="A291" s="343"/>
      <c r="B291" s="343"/>
      <c r="C291" s="343"/>
      <c r="D291" s="343"/>
      <c r="E291" s="343"/>
      <c r="F291" s="343"/>
    </row>
    <row r="292" spans="1:6" x14ac:dyDescent="0.25">
      <c r="A292" s="343"/>
      <c r="B292" s="343"/>
      <c r="C292" s="343"/>
      <c r="D292" s="343"/>
      <c r="E292" s="343"/>
      <c r="F292" s="343"/>
    </row>
    <row r="293" spans="1:6" x14ac:dyDescent="0.25">
      <c r="A293" s="343"/>
      <c r="B293" s="343"/>
      <c r="C293" s="343"/>
      <c r="D293" s="343"/>
      <c r="E293" s="343"/>
      <c r="F293" s="343"/>
    </row>
    <row r="294" spans="1:6" x14ac:dyDescent="0.25">
      <c r="A294" s="343"/>
      <c r="B294" s="343"/>
      <c r="C294" s="343"/>
      <c r="D294" s="343"/>
      <c r="E294" s="343"/>
      <c r="F294" s="343"/>
    </row>
    <row r="295" spans="1:6" x14ac:dyDescent="0.25">
      <c r="A295" s="343"/>
      <c r="B295" s="343"/>
      <c r="C295" s="343"/>
      <c r="D295" s="343"/>
      <c r="E295" s="343"/>
      <c r="F295" s="343"/>
    </row>
    <row r="296" spans="1:6" x14ac:dyDescent="0.25">
      <c r="A296" s="343"/>
      <c r="B296" s="343"/>
      <c r="C296" s="343"/>
      <c r="D296" s="343"/>
      <c r="E296" s="343"/>
      <c r="F296" s="343"/>
    </row>
    <row r="297" spans="1:6" x14ac:dyDescent="0.25">
      <c r="A297" s="343"/>
      <c r="C297" s="343"/>
      <c r="D297" s="343"/>
      <c r="E297" s="343"/>
      <c r="F297" s="343"/>
    </row>
  </sheetData>
  <mergeCells count="1">
    <mergeCell ref="A1:B1"/>
  </mergeCells>
  <hyperlinks>
    <hyperlink ref="B10" r:id="rId1" xr:uid="{F7869ECB-48FF-48EC-B61B-2C5C625FF417}"/>
    <hyperlink ref="B15" r:id="rId2" xr:uid="{62600A20-0585-4BEE-A305-3221A1BA5715}"/>
    <hyperlink ref="B7" r:id="rId3" xr:uid="{14E950A8-DA13-4253-8E47-D15055D23D82}"/>
  </hyperlinks>
  <pageMargins left="0.70866141732283472" right="0.70866141732283472" top="0.78740157480314965" bottom="0.78740157480314965" header="0.31496062992125984" footer="0.31496062992125984"/>
  <pageSetup paperSize="9" scale="48" fitToHeight="0" orientation="portrait" r:id="rId4"/>
  <rowBreaks count="1" manualBreakCount="1">
    <brk id="10" max="1" man="1"/>
  </rowBreaks>
  <drawing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46AC7-E1B5-4A4F-94D2-69F99D74FE07}">
  <sheetPr codeName="Tabelle26"/>
  <dimension ref="A1:B285"/>
  <sheetViews>
    <sheetView showGridLines="0" zoomScaleNormal="100" workbookViewId="0">
      <selection sqref="A1:B1"/>
    </sheetView>
  </sheetViews>
  <sheetFormatPr defaultColWidth="11.453125" defaultRowHeight="14" x14ac:dyDescent="0.3"/>
  <cols>
    <col min="1" max="1" width="2.1796875" style="362" customWidth="1"/>
    <col min="2" max="2" width="87.453125" style="362" customWidth="1"/>
    <col min="3" max="3" width="4.81640625" style="362" customWidth="1"/>
    <col min="4" max="16384" width="11.453125" style="362"/>
  </cols>
  <sheetData>
    <row r="1" spans="1:2" ht="39.75" customHeight="1" x14ac:dyDescent="0.3">
      <c r="A1" s="534" t="s">
        <v>40</v>
      </c>
      <c r="B1" s="534"/>
    </row>
    <row r="2" spans="1:2" ht="14.25" customHeight="1" x14ac:dyDescent="0.3">
      <c r="B2" s="363" t="s">
        <v>450</v>
      </c>
    </row>
    <row r="3" spans="1:2" ht="6" customHeight="1" x14ac:dyDescent="0.3">
      <c r="B3" s="363"/>
    </row>
    <row r="4" spans="1:2" ht="37.5" customHeight="1" x14ac:dyDescent="0.3">
      <c r="A4" s="364"/>
      <c r="B4" s="365" t="s">
        <v>451</v>
      </c>
    </row>
    <row r="5" spans="1:2" ht="64.5" customHeight="1" x14ac:dyDescent="0.3">
      <c r="A5" s="364"/>
      <c r="B5" s="366" t="s">
        <v>452</v>
      </c>
    </row>
    <row r="6" spans="1:2" ht="102" customHeight="1" x14ac:dyDescent="0.3">
      <c r="A6" s="364"/>
      <c r="B6" s="366" t="s">
        <v>453</v>
      </c>
    </row>
    <row r="7" spans="1:2" ht="26.25" customHeight="1" x14ac:dyDescent="0.3">
      <c r="A7" s="364"/>
      <c r="B7" s="367" t="s">
        <v>454</v>
      </c>
    </row>
    <row r="8" spans="1:2" x14ac:dyDescent="0.3">
      <c r="A8" s="364"/>
      <c r="B8" s="368" t="s">
        <v>455</v>
      </c>
    </row>
    <row r="9" spans="1:2" ht="36" customHeight="1" x14ac:dyDescent="0.3">
      <c r="A9" s="347"/>
      <c r="B9" s="364"/>
    </row>
    <row r="10" spans="1:2" ht="101.25" customHeight="1" x14ac:dyDescent="0.3">
      <c r="A10" s="348"/>
      <c r="B10" s="368"/>
    </row>
    <row r="11" spans="1:2" ht="101.25" customHeight="1" x14ac:dyDescent="0.3">
      <c r="A11" s="348"/>
      <c r="B11" s="366" t="s">
        <v>456</v>
      </c>
    </row>
    <row r="12" spans="1:2" ht="87" customHeight="1" x14ac:dyDescent="0.3">
      <c r="A12" s="348"/>
      <c r="B12" s="366" t="s">
        <v>457</v>
      </c>
    </row>
    <row r="13" spans="1:2" ht="10" customHeight="1" x14ac:dyDescent="0.3">
      <c r="A13" s="348"/>
      <c r="B13" s="366"/>
    </row>
    <row r="14" spans="1:2" ht="38.25" customHeight="1" x14ac:dyDescent="0.3">
      <c r="A14" s="348"/>
      <c r="B14" s="366" t="s">
        <v>458</v>
      </c>
    </row>
    <row r="15" spans="1:2" ht="30.75" customHeight="1" x14ac:dyDescent="0.3">
      <c r="A15" s="348"/>
      <c r="B15" s="366" t="s">
        <v>459</v>
      </c>
    </row>
    <row r="16" spans="1:2" ht="129" customHeight="1" x14ac:dyDescent="0.3">
      <c r="A16" s="348"/>
      <c r="B16" s="366"/>
    </row>
    <row r="17" spans="1:2" ht="75" customHeight="1" x14ac:dyDescent="0.3">
      <c r="A17" s="348"/>
      <c r="B17" s="366" t="s">
        <v>460</v>
      </c>
    </row>
    <row r="18" spans="1:2" ht="10" customHeight="1" x14ac:dyDescent="0.3">
      <c r="A18" s="364"/>
      <c r="B18" s="364"/>
    </row>
    <row r="19" spans="1:2" ht="106.5" customHeight="1" x14ac:dyDescent="0.3">
      <c r="A19" s="348"/>
      <c r="B19" s="366" t="s">
        <v>461</v>
      </c>
    </row>
    <row r="20" spans="1:2" ht="10" customHeight="1" x14ac:dyDescent="0.3">
      <c r="A20" s="364"/>
      <c r="B20" s="364"/>
    </row>
    <row r="21" spans="1:2" ht="194.25" customHeight="1" x14ac:dyDescent="0.3">
      <c r="A21" s="348"/>
      <c r="B21" s="366" t="s">
        <v>462</v>
      </c>
    </row>
    <row r="22" spans="1:2" ht="10" customHeight="1" x14ac:dyDescent="0.3">
      <c r="A22" s="364"/>
      <c r="B22" s="364"/>
    </row>
    <row r="23" spans="1:2" ht="89.25" customHeight="1" x14ac:dyDescent="0.3">
      <c r="A23" s="348"/>
      <c r="B23" s="366" t="s">
        <v>463</v>
      </c>
    </row>
    <row r="24" spans="1:2" ht="103.5" customHeight="1" x14ac:dyDescent="0.3">
      <c r="A24" s="348"/>
      <c r="B24" s="366" t="s">
        <v>464</v>
      </c>
    </row>
    <row r="25" spans="1:2" ht="10" customHeight="1" x14ac:dyDescent="0.3">
      <c r="A25" s="364"/>
      <c r="B25" s="364"/>
    </row>
    <row r="26" spans="1:2" ht="23.25" customHeight="1" x14ac:dyDescent="0.3">
      <c r="A26" s="348"/>
      <c r="B26" s="366" t="s">
        <v>465</v>
      </c>
    </row>
    <row r="27" spans="1:2" ht="10" customHeight="1" x14ac:dyDescent="0.3">
      <c r="A27" s="364"/>
      <c r="B27" s="364"/>
    </row>
    <row r="28" spans="1:2" ht="105.75" customHeight="1" x14ac:dyDescent="0.3">
      <c r="A28" s="348"/>
      <c r="B28" s="366" t="s">
        <v>466</v>
      </c>
    </row>
    <row r="29" spans="1:2" ht="23.25" customHeight="1" x14ac:dyDescent="0.3">
      <c r="A29" s="348"/>
      <c r="B29" s="366" t="s">
        <v>467</v>
      </c>
    </row>
    <row r="30" spans="1:2" x14ac:dyDescent="0.3">
      <c r="A30" s="348"/>
      <c r="B30" s="369" t="s">
        <v>468</v>
      </c>
    </row>
    <row r="31" spans="1:2" ht="8.15" customHeight="1" x14ac:dyDescent="0.3">
      <c r="A31" s="364"/>
      <c r="B31" s="364"/>
    </row>
    <row r="32" spans="1:2" ht="13.5" customHeight="1" x14ac:dyDescent="0.3">
      <c r="A32" s="364"/>
      <c r="B32" s="364"/>
    </row>
    <row r="33" spans="1:2" x14ac:dyDescent="0.3">
      <c r="A33" s="364"/>
      <c r="B33" s="364"/>
    </row>
    <row r="34" spans="1:2" x14ac:dyDescent="0.3">
      <c r="A34" s="364"/>
      <c r="B34" s="364"/>
    </row>
    <row r="35" spans="1:2" x14ac:dyDescent="0.3">
      <c r="A35" s="364"/>
      <c r="B35" s="364"/>
    </row>
    <row r="36" spans="1:2" x14ac:dyDescent="0.3">
      <c r="A36" s="364"/>
      <c r="B36" s="364"/>
    </row>
    <row r="37" spans="1:2" x14ac:dyDescent="0.3">
      <c r="A37" s="364"/>
      <c r="B37" s="364"/>
    </row>
    <row r="38" spans="1:2" x14ac:dyDescent="0.3">
      <c r="A38" s="364"/>
      <c r="B38" s="364"/>
    </row>
    <row r="39" spans="1:2" ht="16.5" customHeight="1" x14ac:dyDescent="0.3">
      <c r="A39" s="364"/>
      <c r="B39" s="364"/>
    </row>
    <row r="40" spans="1:2" x14ac:dyDescent="0.3">
      <c r="A40" s="364"/>
      <c r="B40" s="364"/>
    </row>
    <row r="41" spans="1:2" x14ac:dyDescent="0.3">
      <c r="A41" s="364"/>
      <c r="B41" s="364"/>
    </row>
    <row r="42" spans="1:2" x14ac:dyDescent="0.3">
      <c r="A42" s="364"/>
      <c r="B42" s="364"/>
    </row>
    <row r="43" spans="1:2" x14ac:dyDescent="0.3">
      <c r="A43" s="364"/>
      <c r="B43" s="364"/>
    </row>
    <row r="44" spans="1:2" x14ac:dyDescent="0.3">
      <c r="A44" s="364"/>
      <c r="B44" s="364"/>
    </row>
    <row r="45" spans="1:2" x14ac:dyDescent="0.3">
      <c r="A45" s="364"/>
      <c r="B45" s="364"/>
    </row>
    <row r="46" spans="1:2" x14ac:dyDescent="0.3">
      <c r="A46" s="364"/>
      <c r="B46" s="364"/>
    </row>
    <row r="47" spans="1:2" x14ac:dyDescent="0.3">
      <c r="A47" s="364"/>
      <c r="B47" s="364"/>
    </row>
    <row r="48" spans="1:2" x14ac:dyDescent="0.3">
      <c r="A48" s="364"/>
      <c r="B48" s="364"/>
    </row>
    <row r="49" spans="1:2" x14ac:dyDescent="0.3">
      <c r="A49" s="364"/>
      <c r="B49" s="364"/>
    </row>
    <row r="50" spans="1:2" x14ac:dyDescent="0.3">
      <c r="A50" s="364"/>
      <c r="B50" s="364"/>
    </row>
    <row r="51" spans="1:2" x14ac:dyDescent="0.3">
      <c r="A51" s="364"/>
      <c r="B51" s="364"/>
    </row>
    <row r="52" spans="1:2" x14ac:dyDescent="0.3">
      <c r="A52" s="364"/>
      <c r="B52" s="364"/>
    </row>
    <row r="53" spans="1:2" x14ac:dyDescent="0.3">
      <c r="A53" s="364"/>
      <c r="B53" s="364"/>
    </row>
    <row r="54" spans="1:2" x14ac:dyDescent="0.3">
      <c r="A54" s="364"/>
      <c r="B54" s="364"/>
    </row>
    <row r="55" spans="1:2" x14ac:dyDescent="0.3">
      <c r="A55" s="364"/>
      <c r="B55" s="364"/>
    </row>
    <row r="56" spans="1:2" x14ac:dyDescent="0.3">
      <c r="A56" s="364"/>
      <c r="B56" s="364"/>
    </row>
    <row r="57" spans="1:2" x14ac:dyDescent="0.3">
      <c r="A57" s="364"/>
      <c r="B57" s="364"/>
    </row>
    <row r="58" spans="1:2" x14ac:dyDescent="0.3">
      <c r="A58" s="364"/>
      <c r="B58" s="364"/>
    </row>
    <row r="59" spans="1:2" x14ac:dyDescent="0.3">
      <c r="A59" s="364"/>
      <c r="B59" s="364"/>
    </row>
    <row r="60" spans="1:2" x14ac:dyDescent="0.3">
      <c r="A60" s="364"/>
      <c r="B60" s="364"/>
    </row>
    <row r="61" spans="1:2" x14ac:dyDescent="0.3">
      <c r="A61" s="364"/>
      <c r="B61" s="364"/>
    </row>
    <row r="62" spans="1:2" x14ac:dyDescent="0.3">
      <c r="A62" s="364"/>
      <c r="B62" s="364"/>
    </row>
    <row r="63" spans="1:2" x14ac:dyDescent="0.3">
      <c r="A63" s="364"/>
      <c r="B63" s="364"/>
    </row>
    <row r="64" spans="1:2" x14ac:dyDescent="0.3">
      <c r="A64" s="364"/>
      <c r="B64" s="364"/>
    </row>
    <row r="65" spans="1:2" x14ac:dyDescent="0.3">
      <c r="A65" s="364"/>
      <c r="B65" s="364"/>
    </row>
    <row r="66" spans="1:2" x14ac:dyDescent="0.3">
      <c r="A66" s="364"/>
      <c r="B66" s="364"/>
    </row>
    <row r="67" spans="1:2" x14ac:dyDescent="0.3">
      <c r="A67" s="364"/>
      <c r="B67" s="364"/>
    </row>
    <row r="68" spans="1:2" x14ac:dyDescent="0.3">
      <c r="A68" s="364"/>
      <c r="B68" s="364"/>
    </row>
    <row r="69" spans="1:2" x14ac:dyDescent="0.3">
      <c r="A69" s="364"/>
      <c r="B69" s="364"/>
    </row>
    <row r="70" spans="1:2" x14ac:dyDescent="0.3">
      <c r="A70" s="364"/>
      <c r="B70" s="364"/>
    </row>
    <row r="71" spans="1:2" x14ac:dyDescent="0.3">
      <c r="A71" s="364"/>
      <c r="B71" s="364"/>
    </row>
    <row r="72" spans="1:2" x14ac:dyDescent="0.3">
      <c r="A72" s="364"/>
      <c r="B72" s="364"/>
    </row>
    <row r="73" spans="1:2" x14ac:dyDescent="0.3">
      <c r="A73" s="364"/>
      <c r="B73" s="364"/>
    </row>
    <row r="74" spans="1:2" x14ac:dyDescent="0.3">
      <c r="A74" s="364"/>
      <c r="B74" s="364"/>
    </row>
    <row r="75" spans="1:2" x14ac:dyDescent="0.3">
      <c r="A75" s="364"/>
      <c r="B75" s="364"/>
    </row>
    <row r="76" spans="1:2" x14ac:dyDescent="0.3">
      <c r="A76" s="364"/>
      <c r="B76" s="364"/>
    </row>
    <row r="77" spans="1:2" x14ac:dyDescent="0.3">
      <c r="A77" s="364"/>
      <c r="B77" s="364"/>
    </row>
    <row r="78" spans="1:2" x14ac:dyDescent="0.3">
      <c r="A78" s="364"/>
      <c r="B78" s="364"/>
    </row>
    <row r="79" spans="1:2" x14ac:dyDescent="0.3">
      <c r="A79" s="364"/>
      <c r="B79" s="364"/>
    </row>
    <row r="80" spans="1:2" x14ac:dyDescent="0.3">
      <c r="A80" s="364"/>
      <c r="B80" s="364"/>
    </row>
    <row r="81" spans="1:2" x14ac:dyDescent="0.3">
      <c r="A81" s="364"/>
      <c r="B81" s="364"/>
    </row>
    <row r="82" spans="1:2" x14ac:dyDescent="0.3">
      <c r="A82" s="364"/>
      <c r="B82" s="364"/>
    </row>
    <row r="83" spans="1:2" x14ac:dyDescent="0.3">
      <c r="A83" s="364"/>
      <c r="B83" s="364"/>
    </row>
    <row r="84" spans="1:2" x14ac:dyDescent="0.3">
      <c r="A84" s="364"/>
      <c r="B84" s="364"/>
    </row>
    <row r="85" spans="1:2" x14ac:dyDescent="0.3">
      <c r="A85" s="364"/>
      <c r="B85" s="364"/>
    </row>
    <row r="86" spans="1:2" x14ac:dyDescent="0.3">
      <c r="A86" s="364"/>
      <c r="B86" s="364"/>
    </row>
    <row r="87" spans="1:2" x14ac:dyDescent="0.3">
      <c r="A87" s="364"/>
      <c r="B87" s="364"/>
    </row>
    <row r="88" spans="1:2" x14ac:dyDescent="0.3">
      <c r="A88" s="364"/>
      <c r="B88" s="364"/>
    </row>
    <row r="89" spans="1:2" x14ac:dyDescent="0.3">
      <c r="A89" s="364"/>
      <c r="B89" s="364"/>
    </row>
    <row r="90" spans="1:2" x14ac:dyDescent="0.3">
      <c r="A90" s="364"/>
      <c r="B90" s="364"/>
    </row>
    <row r="91" spans="1:2" x14ac:dyDescent="0.3">
      <c r="A91" s="364"/>
      <c r="B91" s="364"/>
    </row>
    <row r="92" spans="1:2" x14ac:dyDescent="0.3">
      <c r="A92" s="364"/>
      <c r="B92" s="364"/>
    </row>
    <row r="93" spans="1:2" x14ac:dyDescent="0.3">
      <c r="A93" s="364"/>
      <c r="B93" s="364"/>
    </row>
    <row r="94" spans="1:2" x14ac:dyDescent="0.3">
      <c r="A94" s="364"/>
      <c r="B94" s="364"/>
    </row>
    <row r="95" spans="1:2" x14ac:dyDescent="0.3">
      <c r="A95" s="364"/>
      <c r="B95" s="364"/>
    </row>
    <row r="96" spans="1:2" x14ac:dyDescent="0.3">
      <c r="A96" s="364"/>
      <c r="B96" s="364"/>
    </row>
    <row r="97" spans="1:2" x14ac:dyDescent="0.3">
      <c r="A97" s="364"/>
      <c r="B97" s="364"/>
    </row>
    <row r="98" spans="1:2" x14ac:dyDescent="0.3">
      <c r="A98" s="364"/>
      <c r="B98" s="364"/>
    </row>
    <row r="99" spans="1:2" x14ac:dyDescent="0.3">
      <c r="A99" s="364"/>
      <c r="B99" s="364"/>
    </row>
    <row r="100" spans="1:2" x14ac:dyDescent="0.3">
      <c r="A100" s="364"/>
      <c r="B100" s="364"/>
    </row>
    <row r="101" spans="1:2" x14ac:dyDescent="0.3">
      <c r="A101" s="364"/>
      <c r="B101" s="364"/>
    </row>
    <row r="102" spans="1:2" x14ac:dyDescent="0.3">
      <c r="A102" s="364"/>
      <c r="B102" s="364"/>
    </row>
    <row r="103" spans="1:2" x14ac:dyDescent="0.3">
      <c r="A103" s="364"/>
      <c r="B103" s="364"/>
    </row>
    <row r="104" spans="1:2" x14ac:dyDescent="0.3">
      <c r="A104" s="364"/>
      <c r="B104" s="364"/>
    </row>
    <row r="105" spans="1:2" x14ac:dyDescent="0.3">
      <c r="A105" s="364"/>
      <c r="B105" s="364"/>
    </row>
    <row r="106" spans="1:2" x14ac:dyDescent="0.3">
      <c r="A106" s="364"/>
      <c r="B106" s="364"/>
    </row>
    <row r="107" spans="1:2" x14ac:dyDescent="0.3">
      <c r="A107" s="364"/>
      <c r="B107" s="364"/>
    </row>
    <row r="108" spans="1:2" x14ac:dyDescent="0.3">
      <c r="A108" s="364"/>
      <c r="B108" s="364"/>
    </row>
    <row r="109" spans="1:2" x14ac:dyDescent="0.3">
      <c r="A109" s="364"/>
      <c r="B109" s="364"/>
    </row>
    <row r="110" spans="1:2" x14ac:dyDescent="0.3">
      <c r="A110" s="364"/>
      <c r="B110" s="364"/>
    </row>
    <row r="111" spans="1:2" x14ac:dyDescent="0.3">
      <c r="A111" s="364"/>
      <c r="B111" s="364"/>
    </row>
    <row r="112" spans="1:2" x14ac:dyDescent="0.3">
      <c r="A112" s="364"/>
      <c r="B112" s="364"/>
    </row>
    <row r="113" spans="1:2" x14ac:dyDescent="0.3">
      <c r="A113" s="364"/>
      <c r="B113" s="364"/>
    </row>
    <row r="114" spans="1:2" x14ac:dyDescent="0.3">
      <c r="A114" s="364"/>
      <c r="B114" s="364"/>
    </row>
    <row r="115" spans="1:2" x14ac:dyDescent="0.3">
      <c r="A115" s="364"/>
      <c r="B115" s="364"/>
    </row>
    <row r="116" spans="1:2" x14ac:dyDescent="0.3">
      <c r="A116" s="364"/>
      <c r="B116" s="364"/>
    </row>
    <row r="117" spans="1:2" x14ac:dyDescent="0.3">
      <c r="A117" s="364"/>
      <c r="B117" s="364"/>
    </row>
    <row r="118" spans="1:2" x14ac:dyDescent="0.3">
      <c r="A118" s="364"/>
      <c r="B118" s="364"/>
    </row>
    <row r="119" spans="1:2" x14ac:dyDescent="0.3">
      <c r="A119" s="364"/>
      <c r="B119" s="364"/>
    </row>
    <row r="120" spans="1:2" x14ac:dyDescent="0.3">
      <c r="A120" s="364"/>
      <c r="B120" s="364"/>
    </row>
    <row r="121" spans="1:2" x14ac:dyDescent="0.3">
      <c r="A121" s="364"/>
      <c r="B121" s="364"/>
    </row>
    <row r="122" spans="1:2" x14ac:dyDescent="0.3">
      <c r="A122" s="364"/>
      <c r="B122" s="364"/>
    </row>
    <row r="123" spans="1:2" x14ac:dyDescent="0.3">
      <c r="A123" s="364"/>
      <c r="B123" s="364"/>
    </row>
    <row r="124" spans="1:2" x14ac:dyDescent="0.3">
      <c r="A124" s="364"/>
      <c r="B124" s="364"/>
    </row>
    <row r="125" spans="1:2" x14ac:dyDescent="0.3">
      <c r="A125" s="364"/>
      <c r="B125" s="364"/>
    </row>
    <row r="126" spans="1:2" x14ac:dyDescent="0.3">
      <c r="A126" s="364"/>
      <c r="B126" s="364"/>
    </row>
    <row r="127" spans="1:2" x14ac:dyDescent="0.3">
      <c r="A127" s="364"/>
      <c r="B127" s="364"/>
    </row>
    <row r="128" spans="1:2" x14ac:dyDescent="0.3">
      <c r="A128" s="364"/>
      <c r="B128" s="364"/>
    </row>
    <row r="129" spans="1:2" x14ac:dyDescent="0.3">
      <c r="A129" s="364"/>
      <c r="B129" s="364"/>
    </row>
    <row r="130" spans="1:2" x14ac:dyDescent="0.3">
      <c r="A130" s="364"/>
      <c r="B130" s="364"/>
    </row>
    <row r="131" spans="1:2" x14ac:dyDescent="0.3">
      <c r="A131" s="364"/>
      <c r="B131" s="364"/>
    </row>
    <row r="132" spans="1:2" x14ac:dyDescent="0.3">
      <c r="A132" s="364"/>
      <c r="B132" s="364"/>
    </row>
    <row r="133" spans="1:2" x14ac:dyDescent="0.3">
      <c r="A133" s="364"/>
      <c r="B133" s="364"/>
    </row>
    <row r="134" spans="1:2" x14ac:dyDescent="0.3">
      <c r="A134" s="364"/>
      <c r="B134" s="364"/>
    </row>
    <row r="135" spans="1:2" x14ac:dyDescent="0.3">
      <c r="A135" s="364"/>
      <c r="B135" s="364"/>
    </row>
    <row r="136" spans="1:2" x14ac:dyDescent="0.3">
      <c r="A136" s="364"/>
      <c r="B136" s="364"/>
    </row>
    <row r="137" spans="1:2" x14ac:dyDescent="0.3">
      <c r="A137" s="364"/>
      <c r="B137" s="364"/>
    </row>
    <row r="138" spans="1:2" x14ac:dyDescent="0.3">
      <c r="A138" s="364"/>
      <c r="B138" s="364"/>
    </row>
    <row r="139" spans="1:2" x14ac:dyDescent="0.3">
      <c r="A139" s="364"/>
      <c r="B139" s="364"/>
    </row>
    <row r="140" spans="1:2" x14ac:dyDescent="0.3">
      <c r="A140" s="364"/>
      <c r="B140" s="364"/>
    </row>
    <row r="141" spans="1:2" x14ac:dyDescent="0.3">
      <c r="A141" s="364"/>
      <c r="B141" s="364"/>
    </row>
    <row r="142" spans="1:2" x14ac:dyDescent="0.3">
      <c r="A142" s="364"/>
      <c r="B142" s="364"/>
    </row>
    <row r="143" spans="1:2" x14ac:dyDescent="0.3">
      <c r="A143" s="364"/>
      <c r="B143" s="364"/>
    </row>
    <row r="144" spans="1:2" x14ac:dyDescent="0.3">
      <c r="A144" s="364"/>
      <c r="B144" s="364"/>
    </row>
    <row r="145" spans="1:2" x14ac:dyDescent="0.3">
      <c r="A145" s="364"/>
      <c r="B145" s="364"/>
    </row>
    <row r="146" spans="1:2" x14ac:dyDescent="0.3">
      <c r="A146" s="364"/>
      <c r="B146" s="364"/>
    </row>
    <row r="147" spans="1:2" x14ac:dyDescent="0.3">
      <c r="A147" s="364"/>
      <c r="B147" s="364"/>
    </row>
    <row r="148" spans="1:2" x14ac:dyDescent="0.3">
      <c r="A148" s="364"/>
      <c r="B148" s="364"/>
    </row>
    <row r="149" spans="1:2" x14ac:dyDescent="0.3">
      <c r="A149" s="364"/>
      <c r="B149" s="364"/>
    </row>
    <row r="150" spans="1:2" x14ac:dyDescent="0.3">
      <c r="A150" s="364"/>
      <c r="B150" s="364"/>
    </row>
    <row r="151" spans="1:2" x14ac:dyDescent="0.3">
      <c r="A151" s="364"/>
      <c r="B151" s="364"/>
    </row>
    <row r="152" spans="1:2" x14ac:dyDescent="0.3">
      <c r="A152" s="364"/>
      <c r="B152" s="364"/>
    </row>
    <row r="153" spans="1:2" x14ac:dyDescent="0.3">
      <c r="A153" s="364"/>
      <c r="B153" s="364"/>
    </row>
    <row r="154" spans="1:2" x14ac:dyDescent="0.3">
      <c r="A154" s="364"/>
      <c r="B154" s="364"/>
    </row>
    <row r="155" spans="1:2" x14ac:dyDescent="0.3">
      <c r="A155" s="364"/>
      <c r="B155" s="364"/>
    </row>
    <row r="156" spans="1:2" x14ac:dyDescent="0.3">
      <c r="A156" s="364"/>
      <c r="B156" s="364"/>
    </row>
    <row r="157" spans="1:2" x14ac:dyDescent="0.3">
      <c r="A157" s="364"/>
      <c r="B157" s="364"/>
    </row>
    <row r="158" spans="1:2" x14ac:dyDescent="0.3">
      <c r="A158" s="364"/>
      <c r="B158" s="364"/>
    </row>
    <row r="159" spans="1:2" x14ac:dyDescent="0.3">
      <c r="A159" s="364"/>
      <c r="B159" s="364"/>
    </row>
    <row r="160" spans="1:2" x14ac:dyDescent="0.3">
      <c r="A160" s="364"/>
      <c r="B160" s="364"/>
    </row>
    <row r="161" spans="1:2" x14ac:dyDescent="0.3">
      <c r="A161" s="364"/>
      <c r="B161" s="364"/>
    </row>
    <row r="162" spans="1:2" x14ac:dyDescent="0.3">
      <c r="A162" s="364"/>
      <c r="B162" s="364"/>
    </row>
    <row r="163" spans="1:2" x14ac:dyDescent="0.3">
      <c r="A163" s="364"/>
      <c r="B163" s="364"/>
    </row>
    <row r="164" spans="1:2" x14ac:dyDescent="0.3">
      <c r="A164" s="364"/>
      <c r="B164" s="364"/>
    </row>
    <row r="165" spans="1:2" x14ac:dyDescent="0.3">
      <c r="A165" s="364"/>
      <c r="B165" s="364"/>
    </row>
    <row r="166" spans="1:2" x14ac:dyDescent="0.3">
      <c r="A166" s="364"/>
      <c r="B166" s="364"/>
    </row>
    <row r="167" spans="1:2" x14ac:dyDescent="0.3">
      <c r="A167" s="364"/>
      <c r="B167" s="364"/>
    </row>
    <row r="168" spans="1:2" x14ac:dyDescent="0.3">
      <c r="A168" s="364"/>
      <c r="B168" s="364"/>
    </row>
    <row r="169" spans="1:2" x14ac:dyDescent="0.3">
      <c r="A169" s="364"/>
      <c r="B169" s="364"/>
    </row>
    <row r="170" spans="1:2" x14ac:dyDescent="0.3">
      <c r="A170" s="364"/>
      <c r="B170" s="364"/>
    </row>
    <row r="171" spans="1:2" x14ac:dyDescent="0.3">
      <c r="A171" s="364"/>
      <c r="B171" s="364"/>
    </row>
    <row r="172" spans="1:2" x14ac:dyDescent="0.3">
      <c r="A172" s="364"/>
      <c r="B172" s="364"/>
    </row>
    <row r="173" spans="1:2" x14ac:dyDescent="0.3">
      <c r="A173" s="364"/>
      <c r="B173" s="364"/>
    </row>
    <row r="174" spans="1:2" x14ac:dyDescent="0.3">
      <c r="A174" s="364"/>
      <c r="B174" s="364"/>
    </row>
    <row r="175" spans="1:2" x14ac:dyDescent="0.3">
      <c r="A175" s="364"/>
      <c r="B175" s="364"/>
    </row>
    <row r="176" spans="1:2" x14ac:dyDescent="0.3">
      <c r="A176" s="364"/>
      <c r="B176" s="364"/>
    </row>
    <row r="177" spans="1:2" x14ac:dyDescent="0.3">
      <c r="A177" s="364"/>
      <c r="B177" s="364"/>
    </row>
    <row r="178" spans="1:2" x14ac:dyDescent="0.3">
      <c r="A178" s="364"/>
      <c r="B178" s="364"/>
    </row>
    <row r="179" spans="1:2" x14ac:dyDescent="0.3">
      <c r="A179" s="364"/>
      <c r="B179" s="364"/>
    </row>
    <row r="180" spans="1:2" x14ac:dyDescent="0.3">
      <c r="A180" s="364"/>
      <c r="B180" s="364"/>
    </row>
    <row r="181" spans="1:2" x14ac:dyDescent="0.3">
      <c r="A181" s="364"/>
      <c r="B181" s="364"/>
    </row>
    <row r="182" spans="1:2" x14ac:dyDescent="0.3">
      <c r="A182" s="364"/>
      <c r="B182" s="364"/>
    </row>
    <row r="183" spans="1:2" x14ac:dyDescent="0.3">
      <c r="A183" s="364"/>
      <c r="B183" s="364"/>
    </row>
    <row r="184" spans="1:2" x14ac:dyDescent="0.3">
      <c r="A184" s="364"/>
      <c r="B184" s="364"/>
    </row>
    <row r="185" spans="1:2" x14ac:dyDescent="0.3">
      <c r="A185" s="364"/>
      <c r="B185" s="364"/>
    </row>
    <row r="186" spans="1:2" x14ac:dyDescent="0.3">
      <c r="A186" s="364"/>
      <c r="B186" s="364"/>
    </row>
    <row r="187" spans="1:2" x14ac:dyDescent="0.3">
      <c r="A187" s="364"/>
      <c r="B187" s="364"/>
    </row>
    <row r="188" spans="1:2" x14ac:dyDescent="0.3">
      <c r="A188" s="364"/>
      <c r="B188" s="364"/>
    </row>
    <row r="189" spans="1:2" x14ac:dyDescent="0.3">
      <c r="A189" s="364"/>
      <c r="B189" s="364"/>
    </row>
    <row r="190" spans="1:2" x14ac:dyDescent="0.3">
      <c r="A190" s="364"/>
      <c r="B190" s="364"/>
    </row>
    <row r="191" spans="1:2" x14ac:dyDescent="0.3">
      <c r="A191" s="364"/>
      <c r="B191" s="364"/>
    </row>
    <row r="192" spans="1:2" x14ac:dyDescent="0.3">
      <c r="A192" s="364"/>
      <c r="B192" s="364"/>
    </row>
    <row r="193" spans="1:2" x14ac:dyDescent="0.3">
      <c r="A193" s="364"/>
      <c r="B193" s="364"/>
    </row>
    <row r="194" spans="1:2" x14ac:dyDescent="0.3">
      <c r="A194" s="364"/>
      <c r="B194" s="364"/>
    </row>
    <row r="195" spans="1:2" x14ac:dyDescent="0.3">
      <c r="A195" s="364"/>
      <c r="B195" s="364"/>
    </row>
    <row r="196" spans="1:2" x14ac:dyDescent="0.3">
      <c r="A196" s="364"/>
      <c r="B196" s="364"/>
    </row>
    <row r="197" spans="1:2" x14ac:dyDescent="0.3">
      <c r="A197" s="364"/>
      <c r="B197" s="364"/>
    </row>
    <row r="198" spans="1:2" x14ac:dyDescent="0.3">
      <c r="A198" s="364"/>
      <c r="B198" s="364"/>
    </row>
    <row r="199" spans="1:2" x14ac:dyDescent="0.3">
      <c r="A199" s="364"/>
      <c r="B199" s="364"/>
    </row>
    <row r="200" spans="1:2" x14ac:dyDescent="0.3">
      <c r="A200" s="364"/>
      <c r="B200" s="364"/>
    </row>
    <row r="201" spans="1:2" x14ac:dyDescent="0.3">
      <c r="A201" s="364"/>
      <c r="B201" s="364"/>
    </row>
    <row r="202" spans="1:2" x14ac:dyDescent="0.3">
      <c r="A202" s="364"/>
      <c r="B202" s="364"/>
    </row>
    <row r="203" spans="1:2" x14ac:dyDescent="0.3">
      <c r="A203" s="364"/>
      <c r="B203" s="364"/>
    </row>
    <row r="204" spans="1:2" x14ac:dyDescent="0.3">
      <c r="A204" s="364"/>
      <c r="B204" s="364"/>
    </row>
    <row r="205" spans="1:2" x14ac:dyDescent="0.3">
      <c r="A205" s="364"/>
      <c r="B205" s="364"/>
    </row>
    <row r="206" spans="1:2" x14ac:dyDescent="0.3">
      <c r="A206" s="364"/>
      <c r="B206" s="364"/>
    </row>
    <row r="207" spans="1:2" x14ac:dyDescent="0.3">
      <c r="A207" s="364"/>
      <c r="B207" s="364"/>
    </row>
    <row r="208" spans="1:2" x14ac:dyDescent="0.3">
      <c r="A208" s="364"/>
      <c r="B208" s="364"/>
    </row>
    <row r="209" spans="1:2" x14ac:dyDescent="0.3">
      <c r="A209" s="364"/>
      <c r="B209" s="364"/>
    </row>
    <row r="210" spans="1:2" x14ac:dyDescent="0.3">
      <c r="A210" s="364"/>
      <c r="B210" s="364"/>
    </row>
    <row r="211" spans="1:2" x14ac:dyDescent="0.3">
      <c r="A211" s="364"/>
      <c r="B211" s="364"/>
    </row>
    <row r="212" spans="1:2" x14ac:dyDescent="0.3">
      <c r="A212" s="364"/>
      <c r="B212" s="364"/>
    </row>
    <row r="213" spans="1:2" x14ac:dyDescent="0.3">
      <c r="A213" s="364"/>
      <c r="B213" s="364"/>
    </row>
    <row r="214" spans="1:2" x14ac:dyDescent="0.3">
      <c r="A214" s="364"/>
      <c r="B214" s="364"/>
    </row>
    <row r="215" spans="1:2" x14ac:dyDescent="0.3">
      <c r="A215" s="364"/>
      <c r="B215" s="364"/>
    </row>
    <row r="216" spans="1:2" x14ac:dyDescent="0.3">
      <c r="A216" s="364"/>
      <c r="B216" s="364"/>
    </row>
    <row r="217" spans="1:2" x14ac:dyDescent="0.3">
      <c r="A217" s="364"/>
      <c r="B217" s="364"/>
    </row>
    <row r="218" spans="1:2" x14ac:dyDescent="0.3">
      <c r="A218" s="364"/>
      <c r="B218" s="364"/>
    </row>
    <row r="219" spans="1:2" x14ac:dyDescent="0.3">
      <c r="A219" s="364"/>
      <c r="B219" s="364"/>
    </row>
    <row r="220" spans="1:2" x14ac:dyDescent="0.3">
      <c r="A220" s="364"/>
      <c r="B220" s="364"/>
    </row>
    <row r="221" spans="1:2" x14ac:dyDescent="0.3">
      <c r="A221" s="364"/>
      <c r="B221" s="364"/>
    </row>
    <row r="222" spans="1:2" x14ac:dyDescent="0.3">
      <c r="A222" s="364"/>
      <c r="B222" s="364"/>
    </row>
    <row r="223" spans="1:2" x14ac:dyDescent="0.3">
      <c r="A223" s="364"/>
      <c r="B223" s="364"/>
    </row>
    <row r="224" spans="1:2" x14ac:dyDescent="0.3">
      <c r="A224" s="364"/>
      <c r="B224" s="364"/>
    </row>
    <row r="225" spans="1:2" x14ac:dyDescent="0.3">
      <c r="A225" s="364"/>
      <c r="B225" s="364"/>
    </row>
    <row r="226" spans="1:2" x14ac:dyDescent="0.3">
      <c r="A226" s="364"/>
      <c r="B226" s="364"/>
    </row>
    <row r="227" spans="1:2" x14ac:dyDescent="0.3">
      <c r="A227" s="364"/>
      <c r="B227" s="364"/>
    </row>
    <row r="228" spans="1:2" x14ac:dyDescent="0.3">
      <c r="A228" s="364"/>
      <c r="B228" s="364"/>
    </row>
    <row r="229" spans="1:2" x14ac:dyDescent="0.3">
      <c r="A229" s="364"/>
      <c r="B229" s="364"/>
    </row>
    <row r="230" spans="1:2" x14ac:dyDescent="0.3">
      <c r="A230" s="364"/>
      <c r="B230" s="364"/>
    </row>
    <row r="231" spans="1:2" x14ac:dyDescent="0.3">
      <c r="A231" s="364"/>
      <c r="B231" s="364"/>
    </row>
    <row r="232" spans="1:2" x14ac:dyDescent="0.3">
      <c r="A232" s="364"/>
      <c r="B232" s="364"/>
    </row>
    <row r="233" spans="1:2" x14ac:dyDescent="0.3">
      <c r="A233" s="364"/>
      <c r="B233" s="364"/>
    </row>
    <row r="234" spans="1:2" x14ac:dyDescent="0.3">
      <c r="A234" s="364"/>
      <c r="B234" s="364"/>
    </row>
    <row r="235" spans="1:2" x14ac:dyDescent="0.3">
      <c r="A235" s="364"/>
      <c r="B235" s="364"/>
    </row>
    <row r="236" spans="1:2" x14ac:dyDescent="0.3">
      <c r="A236" s="364"/>
      <c r="B236" s="364"/>
    </row>
    <row r="237" spans="1:2" x14ac:dyDescent="0.3">
      <c r="A237" s="364"/>
      <c r="B237" s="364"/>
    </row>
    <row r="238" spans="1:2" x14ac:dyDescent="0.3">
      <c r="A238" s="364"/>
      <c r="B238" s="364"/>
    </row>
    <row r="239" spans="1:2" x14ac:dyDescent="0.3">
      <c r="A239" s="364"/>
      <c r="B239" s="364"/>
    </row>
    <row r="240" spans="1:2" x14ac:dyDescent="0.3">
      <c r="A240" s="364"/>
      <c r="B240" s="364"/>
    </row>
    <row r="241" spans="1:2" x14ac:dyDescent="0.3">
      <c r="A241" s="364"/>
      <c r="B241" s="364"/>
    </row>
    <row r="242" spans="1:2" x14ac:dyDescent="0.3">
      <c r="A242" s="364"/>
      <c r="B242" s="364"/>
    </row>
    <row r="243" spans="1:2" x14ac:dyDescent="0.3">
      <c r="A243" s="364"/>
      <c r="B243" s="364"/>
    </row>
    <row r="244" spans="1:2" x14ac:dyDescent="0.3">
      <c r="A244" s="364"/>
      <c r="B244" s="364"/>
    </row>
    <row r="245" spans="1:2" x14ac:dyDescent="0.3">
      <c r="A245" s="364"/>
      <c r="B245" s="364"/>
    </row>
    <row r="246" spans="1:2" x14ac:dyDescent="0.3">
      <c r="A246" s="364"/>
      <c r="B246" s="364"/>
    </row>
    <row r="247" spans="1:2" x14ac:dyDescent="0.3">
      <c r="A247" s="364"/>
      <c r="B247" s="364"/>
    </row>
    <row r="248" spans="1:2" x14ac:dyDescent="0.3">
      <c r="A248" s="364"/>
      <c r="B248" s="364"/>
    </row>
    <row r="249" spans="1:2" x14ac:dyDescent="0.3">
      <c r="A249" s="364"/>
      <c r="B249" s="364"/>
    </row>
    <row r="250" spans="1:2" x14ac:dyDescent="0.3">
      <c r="A250" s="364"/>
      <c r="B250" s="364"/>
    </row>
    <row r="251" spans="1:2" x14ac:dyDescent="0.3">
      <c r="A251" s="364"/>
      <c r="B251" s="364"/>
    </row>
    <row r="252" spans="1:2" x14ac:dyDescent="0.3">
      <c r="A252" s="364"/>
      <c r="B252" s="364"/>
    </row>
    <row r="253" spans="1:2" x14ac:dyDescent="0.3">
      <c r="A253" s="364"/>
      <c r="B253" s="364"/>
    </row>
    <row r="254" spans="1:2" x14ac:dyDescent="0.3">
      <c r="A254" s="364"/>
      <c r="B254" s="364"/>
    </row>
    <row r="255" spans="1:2" x14ac:dyDescent="0.3">
      <c r="A255" s="364"/>
      <c r="B255" s="364"/>
    </row>
    <row r="256" spans="1:2" x14ac:dyDescent="0.3">
      <c r="A256" s="364"/>
      <c r="B256" s="364"/>
    </row>
    <row r="257" spans="1:2" x14ac:dyDescent="0.3">
      <c r="A257" s="364"/>
      <c r="B257" s="364"/>
    </row>
    <row r="258" spans="1:2" x14ac:dyDescent="0.3">
      <c r="A258" s="364"/>
      <c r="B258" s="364"/>
    </row>
    <row r="259" spans="1:2" x14ac:dyDescent="0.3">
      <c r="A259" s="364"/>
      <c r="B259" s="364"/>
    </row>
    <row r="260" spans="1:2" x14ac:dyDescent="0.3">
      <c r="A260" s="364"/>
      <c r="B260" s="364"/>
    </row>
    <row r="261" spans="1:2" x14ac:dyDescent="0.3">
      <c r="A261" s="364"/>
      <c r="B261" s="364"/>
    </row>
    <row r="262" spans="1:2" x14ac:dyDescent="0.3">
      <c r="A262" s="364"/>
      <c r="B262" s="364"/>
    </row>
    <row r="263" spans="1:2" x14ac:dyDescent="0.3">
      <c r="A263" s="364"/>
      <c r="B263" s="364"/>
    </row>
    <row r="264" spans="1:2" x14ac:dyDescent="0.3">
      <c r="A264" s="364"/>
      <c r="B264" s="364"/>
    </row>
    <row r="265" spans="1:2" x14ac:dyDescent="0.3">
      <c r="A265" s="364"/>
      <c r="B265" s="364"/>
    </row>
    <row r="266" spans="1:2" x14ac:dyDescent="0.3">
      <c r="A266" s="364"/>
      <c r="B266" s="364"/>
    </row>
    <row r="267" spans="1:2" x14ac:dyDescent="0.3">
      <c r="A267" s="364"/>
      <c r="B267" s="364"/>
    </row>
    <row r="268" spans="1:2" x14ac:dyDescent="0.3">
      <c r="A268" s="364"/>
      <c r="B268" s="364"/>
    </row>
    <row r="269" spans="1:2" x14ac:dyDescent="0.3">
      <c r="A269" s="364"/>
      <c r="B269" s="364"/>
    </row>
    <row r="270" spans="1:2" x14ac:dyDescent="0.3">
      <c r="A270" s="364"/>
      <c r="B270" s="364"/>
    </row>
    <row r="271" spans="1:2" x14ac:dyDescent="0.3">
      <c r="A271" s="364"/>
      <c r="B271" s="364"/>
    </row>
    <row r="272" spans="1:2" x14ac:dyDescent="0.3">
      <c r="A272" s="364"/>
      <c r="B272" s="364"/>
    </row>
    <row r="273" spans="1:2" x14ac:dyDescent="0.3">
      <c r="A273" s="364"/>
      <c r="B273" s="364"/>
    </row>
    <row r="274" spans="1:2" x14ac:dyDescent="0.3">
      <c r="A274" s="364"/>
      <c r="B274" s="364"/>
    </row>
    <row r="275" spans="1:2" x14ac:dyDescent="0.3">
      <c r="A275" s="364"/>
      <c r="B275" s="364"/>
    </row>
    <row r="276" spans="1:2" x14ac:dyDescent="0.3">
      <c r="A276" s="364"/>
      <c r="B276" s="364"/>
    </row>
    <row r="277" spans="1:2" x14ac:dyDescent="0.3">
      <c r="A277" s="364"/>
      <c r="B277" s="364"/>
    </row>
    <row r="278" spans="1:2" x14ac:dyDescent="0.3">
      <c r="A278" s="364"/>
      <c r="B278" s="364"/>
    </row>
    <row r="279" spans="1:2" x14ac:dyDescent="0.3">
      <c r="A279" s="364"/>
      <c r="B279" s="364"/>
    </row>
    <row r="280" spans="1:2" x14ac:dyDescent="0.3">
      <c r="A280" s="364"/>
      <c r="B280" s="364"/>
    </row>
    <row r="281" spans="1:2" x14ac:dyDescent="0.3">
      <c r="A281" s="364"/>
      <c r="B281" s="364"/>
    </row>
    <row r="282" spans="1:2" x14ac:dyDescent="0.3">
      <c r="A282" s="364"/>
      <c r="B282" s="364"/>
    </row>
    <row r="283" spans="1:2" x14ac:dyDescent="0.3">
      <c r="A283" s="364"/>
      <c r="B283" s="364"/>
    </row>
    <row r="284" spans="1:2" x14ac:dyDescent="0.3">
      <c r="A284" s="364"/>
      <c r="B284" s="364"/>
    </row>
    <row r="285" spans="1:2" x14ac:dyDescent="0.3">
      <c r="B285" s="364"/>
    </row>
  </sheetData>
  <mergeCells count="1">
    <mergeCell ref="A1:B1"/>
  </mergeCells>
  <hyperlinks>
    <hyperlink ref="B30" r:id="rId1" xr:uid="{0EA2ADDC-88DE-4A17-9DFC-44211C90C692}"/>
  </hyperlinks>
  <pageMargins left="0.39370078740157483" right="0.39370078740157483" top="0.19685039370078741" bottom="0.19685039370078741" header="0" footer="0"/>
  <pageSetup paperSize="9" scale="98" orientation="portrait" r:id="rId2"/>
  <rowBreaks count="1" manualBreakCount="1">
    <brk id="16" max="1" man="1"/>
  </rowBreaks>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352F1-2A97-4A57-A1D6-E22096C1EE68}">
  <sheetPr codeName="Tabelle20">
    <tabColor indexed="53"/>
  </sheetPr>
  <dimension ref="A1:N84"/>
  <sheetViews>
    <sheetView zoomScale="70" zoomScaleNormal="70" workbookViewId="0"/>
  </sheetViews>
  <sheetFormatPr defaultColWidth="10.90625" defaultRowHeight="15" customHeight="1" x14ac:dyDescent="0.25"/>
  <cols>
    <col min="1" max="1" width="15.7265625" style="378" customWidth="1"/>
    <col min="2" max="4" width="15.7265625" customWidth="1"/>
    <col min="5" max="7" width="15.7265625" style="373" customWidth="1"/>
    <col min="8" max="8" width="15.7265625" customWidth="1"/>
    <col min="9" max="14" width="15.7265625" style="373" customWidth="1"/>
  </cols>
  <sheetData>
    <row r="1" spans="1:14" ht="15" customHeight="1" x14ac:dyDescent="0.25">
      <c r="A1"/>
      <c r="E1"/>
      <c r="F1"/>
      <c r="G1"/>
      <c r="I1"/>
      <c r="J1"/>
      <c r="K1"/>
      <c r="L1"/>
      <c r="M1"/>
      <c r="N1"/>
    </row>
    <row r="2" spans="1:14" ht="15" customHeight="1" x14ac:dyDescent="0.3">
      <c r="A2" s="318" t="s">
        <v>50</v>
      </c>
      <c r="E2"/>
      <c r="F2"/>
      <c r="G2"/>
      <c r="I2"/>
      <c r="J2"/>
      <c r="K2"/>
      <c r="L2"/>
      <c r="M2"/>
      <c r="N2"/>
    </row>
    <row r="3" spans="1:14" ht="15" customHeight="1" x14ac:dyDescent="0.25">
      <c r="A3"/>
      <c r="E3"/>
      <c r="F3"/>
      <c r="G3"/>
      <c r="I3"/>
      <c r="J3"/>
      <c r="K3"/>
      <c r="L3"/>
      <c r="M3"/>
      <c r="N3"/>
    </row>
    <row r="4" spans="1:14" ht="15" customHeight="1" x14ac:dyDescent="0.25">
      <c r="A4"/>
      <c r="B4" s="535" t="s">
        <v>469</v>
      </c>
      <c r="C4" s="535"/>
      <c r="D4" s="535" t="s">
        <v>470</v>
      </c>
      <c r="E4" s="535"/>
      <c r="F4" s="535" t="s">
        <v>471</v>
      </c>
      <c r="G4" s="535"/>
      <c r="H4" s="535" t="s">
        <v>472</v>
      </c>
      <c r="I4" s="535"/>
      <c r="J4" s="535" t="s">
        <v>473</v>
      </c>
      <c r="K4" s="535"/>
      <c r="L4" s="535"/>
      <c r="M4" s="535"/>
      <c r="N4" s="535"/>
    </row>
    <row r="5" spans="1:14" ht="15" customHeight="1" x14ac:dyDescent="0.25">
      <c r="A5"/>
      <c r="B5" t="s">
        <v>474</v>
      </c>
      <c r="C5" t="s">
        <v>475</v>
      </c>
      <c r="D5" t="s">
        <v>474</v>
      </c>
      <c r="E5" t="s">
        <v>475</v>
      </c>
      <c r="F5" t="s">
        <v>474</v>
      </c>
      <c r="G5" t="s">
        <v>475</v>
      </c>
      <c r="H5" t="s">
        <v>474</v>
      </c>
      <c r="I5" t="s">
        <v>475</v>
      </c>
      <c r="J5" t="s">
        <v>476</v>
      </c>
      <c r="K5" t="s">
        <v>477</v>
      </c>
      <c r="L5" t="s">
        <v>478</v>
      </c>
      <c r="M5" t="s">
        <v>479</v>
      </c>
      <c r="N5" t="s">
        <v>480</v>
      </c>
    </row>
    <row r="6" spans="1:14" ht="15" customHeight="1" x14ac:dyDescent="0.25">
      <c r="A6" s="370" t="s">
        <v>481</v>
      </c>
      <c r="B6" s="371">
        <f>'Tabelle 2.3'!J11</f>
        <v>-0.8213901319888971</v>
      </c>
      <c r="C6" s="372">
        <f>'Tabelle 3.3'!J11</f>
        <v>2.4929527836504581</v>
      </c>
      <c r="D6" s="373">
        <f t="shared" ref="D6:E9" si="0">IF(OR(AND(B6&gt;=-50,B6&lt;=50),ISNUMBER(B6)=FALSE),B6,"")</f>
        <v>-0.8213901319888971</v>
      </c>
      <c r="E6" s="373">
        <f t="shared" si="0"/>
        <v>2.4929527836504581</v>
      </c>
      <c r="F6" t="str">
        <f t="shared" ref="F6:G9" si="1">IF(ISNUMBER(B6)=FALSE,"",IF(B6&lt;-50,"&lt; -50",IF(B6&gt;50,"&gt; 50","")))</f>
        <v/>
      </c>
      <c r="G6" t="str">
        <f t="shared" si="1"/>
        <v/>
      </c>
      <c r="H6" s="373" t="str">
        <f t="shared" ref="H6:I9" si="2">IF(B6&lt;-50,0.75,IF(B6&gt;50,-0.75,""))</f>
        <v/>
      </c>
      <c r="I6" s="373" t="str">
        <f t="shared" si="2"/>
        <v/>
      </c>
      <c r="J6" t="e">
        <f>IF(OR(B6&lt;-50,B6&gt;50),N6,#N/A)</f>
        <v>#N/A</v>
      </c>
      <c r="K6" t="e">
        <f>IF(B6&lt;-50,-45,IF(B6&gt;50,45,#N/A))</f>
        <v>#N/A</v>
      </c>
      <c r="L6" t="e">
        <f>IF(OR(C6&lt;-50,C6&gt;50),N6,#N/A)</f>
        <v>#N/A</v>
      </c>
      <c r="M6" t="e">
        <f>IF(C6&lt;-50,-45,IF(C6&gt;50,45,#N/A))</f>
        <v>#N/A</v>
      </c>
      <c r="N6">
        <v>5</v>
      </c>
    </row>
    <row r="7" spans="1:14" ht="15" customHeight="1" x14ac:dyDescent="0.25">
      <c r="A7" s="370" t="s">
        <v>482</v>
      </c>
      <c r="B7" s="371">
        <f>'Tabelle 2.1'!J25</f>
        <v>-0.75945085579408678</v>
      </c>
      <c r="C7" s="372">
        <f>'Tabelle 3.1'!J23</f>
        <v>0.87219589666571717</v>
      </c>
      <c r="D7" s="373">
        <f t="shared" si="0"/>
        <v>-0.75945085579408678</v>
      </c>
      <c r="E7" s="373">
        <f>IF(OR(AND(C7&gt;=-50,C7&lt;=50),ISNUMBER(C7)=FALSE),C7,"")</f>
        <v>0.87219589666571717</v>
      </c>
      <c r="F7" t="str">
        <f t="shared" si="1"/>
        <v/>
      </c>
      <c r="G7" t="str">
        <f>IF(ISNUMBER(C7)=FALSE,"",IF(C7&lt;-50,"&lt; -50",IF(C7&gt;50,"&gt; 50","")))</f>
        <v/>
      </c>
      <c r="H7" s="373" t="str">
        <f t="shared" si="2"/>
        <v/>
      </c>
      <c r="I7" s="373" t="str">
        <f>IF(C7&lt;-50,0.75,IF(C7&gt;50,-0.75,""))</f>
        <v/>
      </c>
      <c r="J7" t="e">
        <f>IF(OR(B7&lt;-50,B7&gt;50),N7,#N/A)</f>
        <v>#N/A</v>
      </c>
      <c r="K7" t="e">
        <f>IF(B7&lt;-50,-45,IF(B7&gt;50,45,#N/A))</f>
        <v>#N/A</v>
      </c>
      <c r="L7" t="e">
        <f>IF(OR(C7&lt;-50,C7&gt;50),N7,#N/A)</f>
        <v>#N/A</v>
      </c>
      <c r="M7" t="e">
        <f>IF(C7&lt;-50,-45,IF(C7&gt;50,45,#N/A))</f>
        <v>#N/A</v>
      </c>
      <c r="N7">
        <v>15</v>
      </c>
    </row>
    <row r="8" spans="1:14" ht="15" customHeight="1" x14ac:dyDescent="0.25">
      <c r="A8" s="370" t="s">
        <v>483</v>
      </c>
      <c r="B8" s="371">
        <f>'Tabelle 2.1'!J38</f>
        <v>-0.44334140774204267</v>
      </c>
      <c r="C8" s="372">
        <f>'Tabelle 3.1'!J34</f>
        <v>1.0909094917724302</v>
      </c>
      <c r="D8" s="373">
        <f t="shared" si="0"/>
        <v>-0.44334140774204267</v>
      </c>
      <c r="E8" s="373">
        <f>IF(OR(AND(C8&gt;=-50,C8&lt;=50),ISNUMBER(C8)=FALSE),C8,"")</f>
        <v>1.0909094917724302</v>
      </c>
      <c r="F8" t="str">
        <f t="shared" si="1"/>
        <v/>
      </c>
      <c r="G8" t="str">
        <f>IF(ISNUMBER(C8)=FALSE,"",IF(C8&lt;-50,"&lt; -50",IF(C8&gt;50,"&gt; 50","")))</f>
        <v/>
      </c>
      <c r="H8" s="373" t="str">
        <f t="shared" si="2"/>
        <v/>
      </c>
      <c r="I8" s="373" t="str">
        <f>IF(C8&lt;-50,0.75,IF(C8&gt;50,-0.75,""))</f>
        <v/>
      </c>
      <c r="J8" t="e">
        <f>IF(OR(B8&lt;-50,B8&gt;50),N8,#N/A)</f>
        <v>#N/A</v>
      </c>
      <c r="K8" t="e">
        <f>IF(B8&lt;-50,-45,IF(B8&gt;50,45,#N/A))</f>
        <v>#N/A</v>
      </c>
      <c r="L8" t="e">
        <f>IF(OR(C8&lt;-50,C8&gt;50),N8,#N/A)</f>
        <v>#N/A</v>
      </c>
      <c r="M8" t="e">
        <f>IF(C8&lt;-50,-45,IF(C8&gt;50,45,#N/A))</f>
        <v>#N/A</v>
      </c>
      <c r="N8">
        <v>25</v>
      </c>
    </row>
    <row r="9" spans="1:14" ht="15" customHeight="1" x14ac:dyDescent="0.25">
      <c r="A9" s="370" t="s">
        <v>484</v>
      </c>
      <c r="B9" s="371">
        <f>'Tabelle 2.1'!J51</f>
        <v>0.13889215009905245</v>
      </c>
      <c r="C9" s="372">
        <f>'Tabelle 3.1'!J45</f>
        <v>-0.13951042111218662</v>
      </c>
      <c r="D9" s="373">
        <f t="shared" si="0"/>
        <v>0.13889215009905245</v>
      </c>
      <c r="E9" s="373">
        <f t="shared" si="0"/>
        <v>-0.13951042111218662</v>
      </c>
      <c r="F9" t="str">
        <f t="shared" si="1"/>
        <v/>
      </c>
      <c r="G9" t="str">
        <f t="shared" si="1"/>
        <v/>
      </c>
      <c r="H9" s="373" t="str">
        <f t="shared" si="2"/>
        <v/>
      </c>
      <c r="I9" s="373" t="str">
        <f t="shared" si="2"/>
        <v/>
      </c>
      <c r="J9" t="e">
        <f>IF(OR(B9&lt;-50,B9&gt;50),N9,#N/A)</f>
        <v>#N/A</v>
      </c>
      <c r="K9" t="e">
        <f>IF(B9&lt;-50,-45,IF(B9&gt;50,45,#N/A))</f>
        <v>#N/A</v>
      </c>
      <c r="L9" t="e">
        <f>IF(OR(C9&lt;-50,C9&gt;50),N9,#N/A)</f>
        <v>#N/A</v>
      </c>
      <c r="M9" t="e">
        <f>IF(C9&lt;-50,-45,IF(C9&gt;50,45,#N/A))</f>
        <v>#N/A</v>
      </c>
      <c r="N9">
        <v>35</v>
      </c>
    </row>
    <row r="10" spans="1:14" ht="15" customHeight="1" x14ac:dyDescent="0.25">
      <c r="A10"/>
      <c r="E10"/>
      <c r="F10"/>
      <c r="G10"/>
      <c r="I10"/>
      <c r="J10"/>
      <c r="K10"/>
      <c r="L10"/>
      <c r="M10"/>
      <c r="N10"/>
    </row>
    <row r="11" spans="1:14" ht="15" customHeight="1" x14ac:dyDescent="0.25">
      <c r="A11"/>
      <c r="E11"/>
      <c r="F11"/>
      <c r="G11"/>
      <c r="I11"/>
      <c r="J11"/>
      <c r="K11"/>
      <c r="L11"/>
      <c r="M11"/>
      <c r="N11"/>
    </row>
    <row r="12" spans="1:14" ht="15" customHeight="1" x14ac:dyDescent="0.25">
      <c r="A12" s="539" t="s">
        <v>485</v>
      </c>
      <c r="B12" s="535" t="s">
        <v>469</v>
      </c>
      <c r="C12" s="535"/>
      <c r="D12" s="535" t="s">
        <v>470</v>
      </c>
      <c r="E12" s="535"/>
      <c r="F12" s="535" t="s">
        <v>471</v>
      </c>
      <c r="G12" s="535"/>
      <c r="H12" s="535" t="s">
        <v>472</v>
      </c>
      <c r="I12" s="535"/>
      <c r="J12" s="535" t="s">
        <v>473</v>
      </c>
      <c r="K12" s="535"/>
      <c r="L12" s="535"/>
      <c r="M12" s="535"/>
      <c r="N12" s="535"/>
    </row>
    <row r="13" spans="1:14" ht="15" customHeight="1" x14ac:dyDescent="0.25">
      <c r="A13" s="539"/>
      <c r="B13" t="s">
        <v>474</v>
      </c>
      <c r="C13" t="s">
        <v>475</v>
      </c>
      <c r="D13" t="s">
        <v>474</v>
      </c>
      <c r="E13" t="s">
        <v>475</v>
      </c>
      <c r="F13" t="s">
        <v>474</v>
      </c>
      <c r="G13" t="s">
        <v>475</v>
      </c>
      <c r="H13" t="s">
        <v>474</v>
      </c>
      <c r="I13" t="s">
        <v>475</v>
      </c>
      <c r="J13" t="s">
        <v>476</v>
      </c>
      <c r="K13" t="s">
        <v>477</v>
      </c>
      <c r="L13" t="s">
        <v>478</v>
      </c>
      <c r="M13" t="s">
        <v>479</v>
      </c>
      <c r="N13" t="s">
        <v>480</v>
      </c>
    </row>
    <row r="14" spans="1:14" ht="15" customHeight="1" x14ac:dyDescent="0.25">
      <c r="A14">
        <v>1</v>
      </c>
      <c r="B14" s="371">
        <f>'Tabelle 2.3'!J11</f>
        <v>-0.8213901319888971</v>
      </c>
      <c r="C14" s="372">
        <f>'Tabelle 3.3'!J11</f>
        <v>2.4929527836504581</v>
      </c>
      <c r="D14" s="373">
        <f>IF(OR(AND(B14&gt;=-50,B14&lt;=50),ISNUMBER(B14)=FALSE),B14,"")</f>
        <v>-0.8213901319888971</v>
      </c>
      <c r="E14" s="373">
        <f>IF(OR(AND(C14&gt;=-50,C14&lt;=50),ISNUMBER(C14)=FALSE),C14,"")</f>
        <v>2.4929527836504581</v>
      </c>
      <c r="F14" t="str">
        <f>IF(ISNUMBER(B14)=FALSE,"",IF(B14&lt;-50,"&lt; -50",IF(B14&gt;50,"&gt; 50","")))</f>
        <v/>
      </c>
      <c r="G14" t="str">
        <f>IF(ISNUMBER(C14)=FALSE,"",IF(C14&lt;-50,"&lt; -50",IF(C14&gt;50,"&gt; 50","")))</f>
        <v/>
      </c>
      <c r="H14" s="373" t="str">
        <f>IF(B14&lt;-50,0.75,IF(B14&gt;50,-0.75,""))</f>
        <v/>
      </c>
      <c r="I14" s="373" t="str">
        <f>IF(C14&lt;-50,0.75,IF(C14&gt;50,-0.75,""))</f>
        <v/>
      </c>
      <c r="J14" t="e">
        <f>IF(OR(B14&lt;-50,B14&gt;50),N14,#N/A)</f>
        <v>#N/A</v>
      </c>
      <c r="K14" t="e">
        <f>IF(B14&lt;-50,-45,IF(B14&gt;50,45,#N/A))</f>
        <v>#N/A</v>
      </c>
      <c r="L14" t="e">
        <f>IF(OR(C14&lt;-50,C14&gt;50),N14,#N/A)</f>
        <v>#N/A</v>
      </c>
      <c r="M14" t="e">
        <f>IF(C14&lt;-50,-45,IF(C14&gt;50,45,#N/A))</f>
        <v>#N/A</v>
      </c>
      <c r="N14">
        <v>5</v>
      </c>
    </row>
    <row r="15" spans="1:14" ht="15" customHeight="1" x14ac:dyDescent="0.25">
      <c r="A15">
        <v>2</v>
      </c>
      <c r="B15" s="371">
        <f>'Tabelle 2.3'!J12</f>
        <v>-1.1543134872417984</v>
      </c>
      <c r="C15" s="372">
        <f>'Tabelle 3.3'!J12</f>
        <v>-6.8111455108359129</v>
      </c>
      <c r="D15" s="373">
        <f t="shared" ref="D15:E46" si="3">IF(OR(AND(B15&gt;=-50,B15&lt;=50),ISNUMBER(B15)=FALSE),B15,"")</f>
        <v>-1.1543134872417984</v>
      </c>
      <c r="E15" s="373">
        <f t="shared" si="3"/>
        <v>-6.8111455108359129</v>
      </c>
      <c r="F15" t="str">
        <f t="shared" ref="F15:G46" si="4">IF(ISNUMBER(B15)=FALSE,"",IF(B15&lt;-50,"&lt; -50",IF(B15&gt;50,"&gt; 50","")))</f>
        <v/>
      </c>
      <c r="G15" t="str">
        <f t="shared" si="4"/>
        <v/>
      </c>
      <c r="H15" s="373" t="str">
        <f t="shared" ref="H15:I46" si="5">IF(B15&lt;-50,0.75,IF(B15&gt;50,-0.75,""))</f>
        <v/>
      </c>
      <c r="I15" s="373" t="str">
        <f t="shared" si="5"/>
        <v/>
      </c>
      <c r="J15" t="e">
        <f t="shared" ref="J15:J46" si="6">IF(OR(B15&lt;-50,B15&gt;50),N15,#N/A)</f>
        <v>#N/A</v>
      </c>
      <c r="K15" t="e">
        <f t="shared" ref="K15:K46" si="7">IF(B15&lt;-50,-45,IF(B15&gt;50,45,#N/A))</f>
        <v>#N/A</v>
      </c>
      <c r="L15" t="e">
        <f t="shared" ref="L15:L46" si="8">IF(OR(C15&lt;-50,C15&gt;50),N15,#N/A)</f>
        <v>#N/A</v>
      </c>
      <c r="M15" t="e">
        <f t="shared" ref="M15:M46" si="9">IF(C15&lt;-50,-45,IF(C15&gt;50,45,#N/A))</f>
        <v>#N/A</v>
      </c>
      <c r="N15">
        <v>15</v>
      </c>
    </row>
    <row r="16" spans="1:14" ht="15" customHeight="1" x14ac:dyDescent="0.25">
      <c r="A16">
        <v>3</v>
      </c>
      <c r="B16" s="371">
        <f>'Tabelle 2.3'!J13</f>
        <v>-1.9601216627238931</v>
      </c>
      <c r="C16" s="372">
        <f>'Tabelle 3.3'!J13</f>
        <v>-13.48314606741573</v>
      </c>
      <c r="D16" s="373">
        <f t="shared" si="3"/>
        <v>-1.9601216627238931</v>
      </c>
      <c r="E16" s="373">
        <f t="shared" si="3"/>
        <v>-13.48314606741573</v>
      </c>
      <c r="F16" t="str">
        <f t="shared" si="4"/>
        <v/>
      </c>
      <c r="G16" t="str">
        <f t="shared" si="4"/>
        <v/>
      </c>
      <c r="H16" s="373" t="str">
        <f t="shared" si="5"/>
        <v/>
      </c>
      <c r="I16" s="373" t="str">
        <f t="shared" si="5"/>
        <v/>
      </c>
      <c r="J16" t="e">
        <f t="shared" si="6"/>
        <v>#N/A</v>
      </c>
      <c r="K16" t="e">
        <f t="shared" si="7"/>
        <v>#N/A</v>
      </c>
      <c r="L16" t="e">
        <f t="shared" si="8"/>
        <v>#N/A</v>
      </c>
      <c r="M16" t="e">
        <f t="shared" si="9"/>
        <v>#N/A</v>
      </c>
      <c r="N16">
        <v>25</v>
      </c>
    </row>
    <row r="17" spans="1:14" ht="15" customHeight="1" x14ac:dyDescent="0.25">
      <c r="A17">
        <v>4</v>
      </c>
      <c r="B17" s="371">
        <f>'Tabelle 2.3'!J14</f>
        <v>-0.35607101073299763</v>
      </c>
      <c r="C17" s="372">
        <f>'Tabelle 3.3'!J14</f>
        <v>1.075268817204301</v>
      </c>
      <c r="D17" s="373">
        <f t="shared" si="3"/>
        <v>-0.35607101073299763</v>
      </c>
      <c r="E17" s="373">
        <f t="shared" si="3"/>
        <v>1.075268817204301</v>
      </c>
      <c r="F17" t="str">
        <f t="shared" si="4"/>
        <v/>
      </c>
      <c r="G17" t="str">
        <f t="shared" si="4"/>
        <v/>
      </c>
      <c r="H17" s="373" t="str">
        <f t="shared" si="5"/>
        <v/>
      </c>
      <c r="I17" s="373" t="str">
        <f t="shared" si="5"/>
        <v/>
      </c>
      <c r="J17" t="e">
        <f t="shared" si="6"/>
        <v>#N/A</v>
      </c>
      <c r="K17" t="e">
        <f t="shared" si="7"/>
        <v>#N/A</v>
      </c>
      <c r="L17" t="e">
        <f t="shared" si="8"/>
        <v>#N/A</v>
      </c>
      <c r="M17" t="e">
        <f t="shared" si="9"/>
        <v>#N/A</v>
      </c>
      <c r="N17">
        <v>36</v>
      </c>
    </row>
    <row r="18" spans="1:14" ht="15" customHeight="1" x14ac:dyDescent="0.25">
      <c r="A18">
        <v>5</v>
      </c>
      <c r="B18" s="371">
        <f>'Tabelle 2.3'!J15</f>
        <v>1.2391208142793921</v>
      </c>
      <c r="C18" s="372">
        <f>'Tabelle 3.3'!J15</f>
        <v>2.2522522522522523</v>
      </c>
      <c r="D18" s="373">
        <f t="shared" si="3"/>
        <v>1.2391208142793921</v>
      </c>
      <c r="E18" s="373">
        <f t="shared" si="3"/>
        <v>2.2522522522522523</v>
      </c>
      <c r="F18" t="str">
        <f t="shared" si="4"/>
        <v/>
      </c>
      <c r="G18" t="str">
        <f t="shared" si="4"/>
        <v/>
      </c>
      <c r="H18" s="373" t="str">
        <f t="shared" si="5"/>
        <v/>
      </c>
      <c r="I18" s="373" t="str">
        <f t="shared" si="5"/>
        <v/>
      </c>
      <c r="J18" t="e">
        <f t="shared" si="6"/>
        <v>#N/A</v>
      </c>
      <c r="K18" t="e">
        <f t="shared" si="7"/>
        <v>#N/A</v>
      </c>
      <c r="L18" t="e">
        <f t="shared" si="8"/>
        <v>#N/A</v>
      </c>
      <c r="M18" t="e">
        <f t="shared" si="9"/>
        <v>#N/A</v>
      </c>
      <c r="N18">
        <v>46</v>
      </c>
    </row>
    <row r="19" spans="1:14" ht="15" customHeight="1" x14ac:dyDescent="0.25">
      <c r="A19">
        <v>6</v>
      </c>
      <c r="B19" s="371">
        <f>'Tabelle 2.3'!J16</f>
        <v>-0.87299052485893747</v>
      </c>
      <c r="C19" s="372">
        <f>'Tabelle 3.3'!J16</f>
        <v>1.6</v>
      </c>
      <c r="D19" s="373">
        <f t="shared" si="3"/>
        <v>-0.87299052485893747</v>
      </c>
      <c r="E19" s="373">
        <f t="shared" si="3"/>
        <v>1.6</v>
      </c>
      <c r="F19" t="str">
        <f t="shared" si="4"/>
        <v/>
      </c>
      <c r="G19" t="str">
        <f t="shared" si="4"/>
        <v/>
      </c>
      <c r="H19" s="373" t="str">
        <f t="shared" si="5"/>
        <v/>
      </c>
      <c r="I19" s="373" t="str">
        <f t="shared" si="5"/>
        <v/>
      </c>
      <c r="J19" t="e">
        <f t="shared" si="6"/>
        <v>#N/A</v>
      </c>
      <c r="K19" t="e">
        <f t="shared" si="7"/>
        <v>#N/A</v>
      </c>
      <c r="L19" t="e">
        <f t="shared" si="8"/>
        <v>#N/A</v>
      </c>
      <c r="M19" t="e">
        <f t="shared" si="9"/>
        <v>#N/A</v>
      </c>
      <c r="N19">
        <v>56</v>
      </c>
    </row>
    <row r="20" spans="1:14" ht="15" customHeight="1" x14ac:dyDescent="0.25">
      <c r="A20">
        <v>7</v>
      </c>
      <c r="B20" s="371">
        <f>'Tabelle 2.3'!J17</f>
        <v>-2.0648121594493833</v>
      </c>
      <c r="C20" s="372">
        <f>'Tabelle 3.3'!J17</f>
        <v>-5.4054054054054053</v>
      </c>
      <c r="D20" s="373">
        <f t="shared" si="3"/>
        <v>-2.0648121594493833</v>
      </c>
      <c r="E20" s="373">
        <f t="shared" si="3"/>
        <v>-5.4054054054054053</v>
      </c>
      <c r="F20" t="str">
        <f t="shared" si="4"/>
        <v/>
      </c>
      <c r="G20" t="str">
        <f t="shared" si="4"/>
        <v/>
      </c>
      <c r="H20" s="373" t="str">
        <f t="shared" si="5"/>
        <v/>
      </c>
      <c r="I20" s="373" t="str">
        <f t="shared" si="5"/>
        <v/>
      </c>
      <c r="J20" t="e">
        <f t="shared" si="6"/>
        <v>#N/A</v>
      </c>
      <c r="K20" t="e">
        <f t="shared" si="7"/>
        <v>#N/A</v>
      </c>
      <c r="L20" t="e">
        <f t="shared" si="8"/>
        <v>#N/A</v>
      </c>
      <c r="M20" t="e">
        <f t="shared" si="9"/>
        <v>#N/A</v>
      </c>
      <c r="N20">
        <v>67</v>
      </c>
    </row>
    <row r="21" spans="1:14" ht="15" customHeight="1" x14ac:dyDescent="0.25">
      <c r="A21">
        <v>8</v>
      </c>
      <c r="B21" s="371">
        <f>'Tabelle 2.3'!J18</f>
        <v>-2.5614577961148357</v>
      </c>
      <c r="C21" s="372">
        <f>'Tabelle 3.3'!J18</f>
        <v>3.8961038961038961</v>
      </c>
      <c r="D21" s="373">
        <f t="shared" si="3"/>
        <v>-2.5614577961148357</v>
      </c>
      <c r="E21" s="373">
        <f t="shared" si="3"/>
        <v>3.8961038961038961</v>
      </c>
      <c r="F21" t="str">
        <f t="shared" si="4"/>
        <v/>
      </c>
      <c r="G21" t="str">
        <f t="shared" si="4"/>
        <v/>
      </c>
      <c r="H21" s="373" t="str">
        <f t="shared" si="5"/>
        <v/>
      </c>
      <c r="I21" s="373" t="str">
        <f t="shared" si="5"/>
        <v/>
      </c>
      <c r="J21" t="e">
        <f t="shared" si="6"/>
        <v>#N/A</v>
      </c>
      <c r="K21" t="e">
        <f t="shared" si="7"/>
        <v>#N/A</v>
      </c>
      <c r="L21" t="e">
        <f t="shared" si="8"/>
        <v>#N/A</v>
      </c>
      <c r="M21" t="e">
        <f t="shared" si="9"/>
        <v>#N/A</v>
      </c>
      <c r="N21">
        <v>77</v>
      </c>
    </row>
    <row r="22" spans="1:14" ht="15" customHeight="1" x14ac:dyDescent="0.25">
      <c r="A22">
        <v>9</v>
      </c>
      <c r="B22" s="371">
        <f>'Tabelle 2.3'!J19</f>
        <v>-2.8522987932582029</v>
      </c>
      <c r="C22" s="372">
        <f>'Tabelle 3.3'!J19</f>
        <v>2.8385570668243645</v>
      </c>
      <c r="D22" s="373">
        <f t="shared" si="3"/>
        <v>-2.8522987932582029</v>
      </c>
      <c r="E22" s="373">
        <f t="shared" si="3"/>
        <v>2.8385570668243645</v>
      </c>
      <c r="F22" t="str">
        <f t="shared" si="4"/>
        <v/>
      </c>
      <c r="G22" t="str">
        <f t="shared" si="4"/>
        <v/>
      </c>
      <c r="H22" s="373" t="str">
        <f t="shared" si="5"/>
        <v/>
      </c>
      <c r="I22" s="373" t="str">
        <f t="shared" si="5"/>
        <v/>
      </c>
      <c r="J22" t="e">
        <f t="shared" si="6"/>
        <v>#N/A</v>
      </c>
      <c r="K22" t="e">
        <f t="shared" si="7"/>
        <v>#N/A</v>
      </c>
      <c r="L22" t="e">
        <f t="shared" si="8"/>
        <v>#N/A</v>
      </c>
      <c r="M22" t="e">
        <f t="shared" si="9"/>
        <v>#N/A</v>
      </c>
      <c r="N22">
        <v>87</v>
      </c>
    </row>
    <row r="23" spans="1:14" ht="15" customHeight="1" x14ac:dyDescent="0.25">
      <c r="A23">
        <v>10</v>
      </c>
      <c r="B23" s="371">
        <f>'Tabelle 2.3'!J20</f>
        <v>-5.8842239185750635</v>
      </c>
      <c r="C23" s="372">
        <f>'Tabelle 3.3'!J20</f>
        <v>1.9379844961240309</v>
      </c>
      <c r="D23" s="373">
        <f t="shared" si="3"/>
        <v>-5.8842239185750635</v>
      </c>
      <c r="E23" s="373">
        <f t="shared" si="3"/>
        <v>1.9379844961240309</v>
      </c>
      <c r="F23" t="str">
        <f t="shared" si="4"/>
        <v/>
      </c>
      <c r="G23" t="str">
        <f t="shared" si="4"/>
        <v/>
      </c>
      <c r="H23" s="373" t="str">
        <f t="shared" si="5"/>
        <v/>
      </c>
      <c r="I23" s="373" t="str">
        <f t="shared" si="5"/>
        <v/>
      </c>
      <c r="J23" t="e">
        <f t="shared" si="6"/>
        <v>#N/A</v>
      </c>
      <c r="K23" t="e">
        <f t="shared" si="7"/>
        <v>#N/A</v>
      </c>
      <c r="L23" t="e">
        <f t="shared" si="8"/>
        <v>#N/A</v>
      </c>
      <c r="M23" t="e">
        <f t="shared" si="9"/>
        <v>#N/A</v>
      </c>
      <c r="N23">
        <v>98</v>
      </c>
    </row>
    <row r="24" spans="1:14" ht="15" customHeight="1" x14ac:dyDescent="0.25">
      <c r="A24">
        <v>11</v>
      </c>
      <c r="B24" s="371">
        <f>'Tabelle 2.3'!J21</f>
        <v>-2.0643806857942617</v>
      </c>
      <c r="C24" s="372">
        <f>'Tabelle 3.3'!J21</f>
        <v>7.9303675048355897</v>
      </c>
      <c r="D24" s="373">
        <f t="shared" si="3"/>
        <v>-2.0643806857942617</v>
      </c>
      <c r="E24" s="373">
        <f t="shared" si="3"/>
        <v>7.9303675048355897</v>
      </c>
      <c r="F24" t="str">
        <f t="shared" si="4"/>
        <v/>
      </c>
      <c r="G24" t="str">
        <f t="shared" si="4"/>
        <v/>
      </c>
      <c r="H24" s="373" t="str">
        <f t="shared" si="5"/>
        <v/>
      </c>
      <c r="I24" s="373" t="str">
        <f t="shared" si="5"/>
        <v/>
      </c>
      <c r="J24" t="e">
        <f t="shared" si="6"/>
        <v>#N/A</v>
      </c>
      <c r="K24" t="e">
        <f t="shared" si="7"/>
        <v>#N/A</v>
      </c>
      <c r="L24" t="e">
        <f t="shared" si="8"/>
        <v>#N/A</v>
      </c>
      <c r="M24" t="e">
        <f t="shared" si="9"/>
        <v>#N/A</v>
      </c>
      <c r="N24">
        <v>108</v>
      </c>
    </row>
    <row r="25" spans="1:14" ht="15" customHeight="1" x14ac:dyDescent="0.25">
      <c r="A25">
        <v>12</v>
      </c>
      <c r="B25" s="371">
        <f>'Tabelle 2.3'!J22</f>
        <v>-4.7735618115055081</v>
      </c>
      <c r="C25" s="372">
        <f>'Tabelle 3.3'!J22</f>
        <v>-0.81967213114754101</v>
      </c>
      <c r="D25" s="373">
        <f t="shared" si="3"/>
        <v>-4.7735618115055081</v>
      </c>
      <c r="E25" s="373">
        <f t="shared" si="3"/>
        <v>-0.81967213114754101</v>
      </c>
      <c r="F25" t="str">
        <f t="shared" si="4"/>
        <v/>
      </c>
      <c r="G25" t="str">
        <f t="shared" si="4"/>
        <v/>
      </c>
      <c r="H25" s="373" t="str">
        <f t="shared" si="5"/>
        <v/>
      </c>
      <c r="I25" s="373" t="str">
        <f t="shared" si="5"/>
        <v/>
      </c>
      <c r="J25" t="e">
        <f t="shared" si="6"/>
        <v>#N/A</v>
      </c>
      <c r="K25" t="e">
        <f t="shared" si="7"/>
        <v>#N/A</v>
      </c>
      <c r="L25" t="e">
        <f t="shared" si="8"/>
        <v>#N/A</v>
      </c>
      <c r="M25" t="e">
        <f t="shared" si="9"/>
        <v>#N/A</v>
      </c>
      <c r="N25">
        <v>118</v>
      </c>
    </row>
    <row r="26" spans="1:14" ht="15" customHeight="1" x14ac:dyDescent="0.25">
      <c r="A26">
        <v>13</v>
      </c>
      <c r="B26" s="371">
        <f>'Tabelle 2.3'!J23</f>
        <v>2.5667351129363452</v>
      </c>
      <c r="C26" s="372">
        <f>'Tabelle 3.3'!J23</f>
        <v>9.1463414634146343</v>
      </c>
      <c r="D26" s="373">
        <f t="shared" si="3"/>
        <v>2.5667351129363452</v>
      </c>
      <c r="E26" s="373">
        <f t="shared" si="3"/>
        <v>9.1463414634146343</v>
      </c>
      <c r="F26" t="str">
        <f t="shared" si="4"/>
        <v/>
      </c>
      <c r="G26" t="str">
        <f t="shared" si="4"/>
        <v/>
      </c>
      <c r="H26" s="373" t="str">
        <f t="shared" si="5"/>
        <v/>
      </c>
      <c r="I26" s="373" t="str">
        <f t="shared" si="5"/>
        <v/>
      </c>
      <c r="J26" t="e">
        <f t="shared" si="6"/>
        <v>#N/A</v>
      </c>
      <c r="K26" t="e">
        <f t="shared" si="7"/>
        <v>#N/A</v>
      </c>
      <c r="L26" t="e">
        <f t="shared" si="8"/>
        <v>#N/A</v>
      </c>
      <c r="M26" t="e">
        <f t="shared" si="9"/>
        <v>#N/A</v>
      </c>
      <c r="N26">
        <v>129</v>
      </c>
    </row>
    <row r="27" spans="1:14" ht="15" customHeight="1" x14ac:dyDescent="0.25">
      <c r="A27">
        <v>14</v>
      </c>
      <c r="B27" s="371">
        <f>'Tabelle 2.3'!J24</f>
        <v>-9.2188156236875258</v>
      </c>
      <c r="C27" s="372">
        <f>'Tabelle 3.3'!J24</f>
        <v>-1.3765978367748279</v>
      </c>
      <c r="D27" s="373">
        <f t="shared" si="3"/>
        <v>-9.2188156236875258</v>
      </c>
      <c r="E27" s="373">
        <f t="shared" si="3"/>
        <v>-1.3765978367748279</v>
      </c>
      <c r="F27" t="str">
        <f t="shared" si="4"/>
        <v/>
      </c>
      <c r="G27" t="str">
        <f t="shared" si="4"/>
        <v/>
      </c>
      <c r="H27" s="373" t="str">
        <f t="shared" si="5"/>
        <v/>
      </c>
      <c r="I27" s="373" t="str">
        <f t="shared" si="5"/>
        <v/>
      </c>
      <c r="J27" t="e">
        <f t="shared" si="6"/>
        <v>#N/A</v>
      </c>
      <c r="K27" t="e">
        <f t="shared" si="7"/>
        <v>#N/A</v>
      </c>
      <c r="L27" t="e">
        <f t="shared" si="8"/>
        <v>#N/A</v>
      </c>
      <c r="M27" t="e">
        <f t="shared" si="9"/>
        <v>#N/A</v>
      </c>
      <c r="N27">
        <v>139</v>
      </c>
    </row>
    <row r="28" spans="1:14" ht="15" customHeight="1" x14ac:dyDescent="0.25">
      <c r="A28">
        <v>15</v>
      </c>
      <c r="B28" s="371">
        <f>'Tabelle 2.3'!J25</f>
        <v>-1.1195807527393997</v>
      </c>
      <c r="C28" s="372">
        <f>'Tabelle 3.3'!J25</f>
        <v>0.98146128680479827</v>
      </c>
      <c r="D28" s="373">
        <f t="shared" si="3"/>
        <v>-1.1195807527393997</v>
      </c>
      <c r="E28" s="373">
        <f t="shared" si="3"/>
        <v>0.98146128680479827</v>
      </c>
      <c r="F28" t="str">
        <f t="shared" si="4"/>
        <v/>
      </c>
      <c r="G28" t="str">
        <f t="shared" si="4"/>
        <v/>
      </c>
      <c r="H28" s="373" t="str">
        <f t="shared" si="5"/>
        <v/>
      </c>
      <c r="I28" s="373" t="str">
        <f t="shared" si="5"/>
        <v/>
      </c>
      <c r="J28" t="e">
        <f t="shared" si="6"/>
        <v>#N/A</v>
      </c>
      <c r="K28" t="e">
        <f t="shared" si="7"/>
        <v>#N/A</v>
      </c>
      <c r="L28" t="e">
        <f t="shared" si="8"/>
        <v>#N/A</v>
      </c>
      <c r="M28" t="e">
        <f t="shared" si="9"/>
        <v>#N/A</v>
      </c>
      <c r="N28">
        <v>149</v>
      </c>
    </row>
    <row r="29" spans="1:14" ht="15" customHeight="1" x14ac:dyDescent="0.25">
      <c r="A29">
        <v>16</v>
      </c>
      <c r="B29" s="371">
        <f>'Tabelle 2.3'!J26</f>
        <v>-0.16797312430011199</v>
      </c>
      <c r="C29" s="372">
        <f>'Tabelle 3.3'!J26</f>
        <v>1.0976948408342482</v>
      </c>
      <c r="D29" s="373">
        <f t="shared" si="3"/>
        <v>-0.16797312430011199</v>
      </c>
      <c r="E29" s="373">
        <f t="shared" si="3"/>
        <v>1.0976948408342482</v>
      </c>
      <c r="F29" t="str">
        <f t="shared" si="4"/>
        <v/>
      </c>
      <c r="G29" t="str">
        <f t="shared" si="4"/>
        <v/>
      </c>
      <c r="H29" s="373" t="str">
        <f t="shared" si="5"/>
        <v/>
      </c>
      <c r="I29" s="373" t="str">
        <f t="shared" si="5"/>
        <v/>
      </c>
      <c r="J29" t="e">
        <f t="shared" si="6"/>
        <v>#N/A</v>
      </c>
      <c r="K29" t="e">
        <f t="shared" si="7"/>
        <v>#N/A</v>
      </c>
      <c r="L29" t="e">
        <f t="shared" si="8"/>
        <v>#N/A</v>
      </c>
      <c r="M29" t="e">
        <f t="shared" si="9"/>
        <v>#N/A</v>
      </c>
      <c r="N29">
        <v>160</v>
      </c>
    </row>
    <row r="30" spans="1:14" ht="15" customHeight="1" x14ac:dyDescent="0.25">
      <c r="A30">
        <v>17</v>
      </c>
      <c r="B30" s="371">
        <f>'Tabelle 2.3'!J27</f>
        <v>-6.5495207667731625</v>
      </c>
      <c r="C30" s="372">
        <f>'Tabelle 3.3'!J27</f>
        <v>-16.666666666666668</v>
      </c>
      <c r="D30" s="373">
        <f t="shared" si="3"/>
        <v>-6.5495207667731625</v>
      </c>
      <c r="E30" s="373">
        <f t="shared" si="3"/>
        <v>-16.666666666666668</v>
      </c>
      <c r="F30" t="str">
        <f t="shared" si="4"/>
        <v/>
      </c>
      <c r="G30" t="str">
        <f t="shared" si="4"/>
        <v/>
      </c>
      <c r="H30" s="373" t="str">
        <f t="shared" si="5"/>
        <v/>
      </c>
      <c r="I30" s="373" t="str">
        <f t="shared" si="5"/>
        <v/>
      </c>
      <c r="J30" t="e">
        <f t="shared" si="6"/>
        <v>#N/A</v>
      </c>
      <c r="K30" t="e">
        <f t="shared" si="7"/>
        <v>#N/A</v>
      </c>
      <c r="L30" t="e">
        <f t="shared" si="8"/>
        <v>#N/A</v>
      </c>
      <c r="M30" t="e">
        <f t="shared" si="9"/>
        <v>#N/A</v>
      </c>
      <c r="N30">
        <v>170</v>
      </c>
    </row>
    <row r="31" spans="1:14" ht="15" customHeight="1" x14ac:dyDescent="0.25">
      <c r="A31">
        <v>18</v>
      </c>
      <c r="B31" s="371">
        <f>'Tabelle 2.3'!J28</f>
        <v>-0.59648557149766246</v>
      </c>
      <c r="C31" s="372">
        <f>'Tabelle 3.3'!J28</f>
        <v>8</v>
      </c>
      <c r="D31" s="373">
        <f t="shared" si="3"/>
        <v>-0.59648557149766246</v>
      </c>
      <c r="E31" s="373">
        <f t="shared" si="3"/>
        <v>8</v>
      </c>
      <c r="F31" t="str">
        <f t="shared" si="4"/>
        <v/>
      </c>
      <c r="G31" t="str">
        <f t="shared" si="4"/>
        <v/>
      </c>
      <c r="H31" s="373" t="str">
        <f t="shared" si="5"/>
        <v/>
      </c>
      <c r="I31" s="373" t="str">
        <f t="shared" si="5"/>
        <v/>
      </c>
      <c r="J31" t="e">
        <f t="shared" si="6"/>
        <v>#N/A</v>
      </c>
      <c r="K31" t="e">
        <f t="shared" si="7"/>
        <v>#N/A</v>
      </c>
      <c r="L31" t="e">
        <f t="shared" si="8"/>
        <v>#N/A</v>
      </c>
      <c r="M31" t="e">
        <f t="shared" si="9"/>
        <v>#N/A</v>
      </c>
      <c r="N31">
        <v>180</v>
      </c>
    </row>
    <row r="32" spans="1:14" ht="15" customHeight="1" x14ac:dyDescent="0.25">
      <c r="A32">
        <v>19</v>
      </c>
      <c r="B32" s="371">
        <f>'Tabelle 2.3'!J29</f>
        <v>-0.75896362208845847</v>
      </c>
      <c r="C32" s="372">
        <f>'Tabelle 3.3'!J29</f>
        <v>-1.6339869281045751</v>
      </c>
      <c r="D32" s="373">
        <f t="shared" si="3"/>
        <v>-0.75896362208845847</v>
      </c>
      <c r="E32" s="373">
        <f t="shared" si="3"/>
        <v>-1.6339869281045751</v>
      </c>
      <c r="F32" t="str">
        <f t="shared" si="4"/>
        <v/>
      </c>
      <c r="G32" t="str">
        <f t="shared" si="4"/>
        <v/>
      </c>
      <c r="H32" s="373" t="str">
        <f t="shared" si="5"/>
        <v/>
      </c>
      <c r="I32" s="373" t="str">
        <f t="shared" si="5"/>
        <v/>
      </c>
      <c r="J32" t="e">
        <f t="shared" si="6"/>
        <v>#N/A</v>
      </c>
      <c r="K32" t="e">
        <f t="shared" si="7"/>
        <v>#N/A</v>
      </c>
      <c r="L32" t="e">
        <f t="shared" si="8"/>
        <v>#N/A</v>
      </c>
      <c r="M32" t="e">
        <f t="shared" si="9"/>
        <v>#N/A</v>
      </c>
      <c r="N32">
        <v>191</v>
      </c>
    </row>
    <row r="33" spans="1:14" ht="15" customHeight="1" x14ac:dyDescent="0.25">
      <c r="A33">
        <v>20</v>
      </c>
      <c r="B33" s="371">
        <f>'Tabelle 2.3'!J30</f>
        <v>0.93680089485458617</v>
      </c>
      <c r="C33" s="372">
        <f>'Tabelle 3.3'!J30</f>
        <v>3.7575757575757578</v>
      </c>
      <c r="D33" s="373">
        <f t="shared" si="3"/>
        <v>0.93680089485458617</v>
      </c>
      <c r="E33" s="373">
        <f t="shared" si="3"/>
        <v>3.7575757575757578</v>
      </c>
      <c r="F33" t="str">
        <f t="shared" si="4"/>
        <v/>
      </c>
      <c r="G33" t="str">
        <f t="shared" si="4"/>
        <v/>
      </c>
      <c r="H33" s="373" t="str">
        <f t="shared" si="5"/>
        <v/>
      </c>
      <c r="I33" s="373" t="str">
        <f t="shared" si="5"/>
        <v/>
      </c>
      <c r="J33" t="e">
        <f t="shared" si="6"/>
        <v>#N/A</v>
      </c>
      <c r="K33" t="e">
        <f t="shared" si="7"/>
        <v>#N/A</v>
      </c>
      <c r="L33" t="e">
        <f t="shared" si="8"/>
        <v>#N/A</v>
      </c>
      <c r="M33" t="e">
        <f t="shared" si="9"/>
        <v>#N/A</v>
      </c>
      <c r="N33">
        <v>201</v>
      </c>
    </row>
    <row r="34" spans="1:14" ht="15" customHeight="1" x14ac:dyDescent="0.25">
      <c r="A34">
        <v>21</v>
      </c>
      <c r="B34" s="371">
        <f>'Tabelle 2.3'!J31</f>
        <v>5.7142857142857144</v>
      </c>
      <c r="C34" s="372">
        <f>'Tabelle 3.3'!J31</f>
        <v>4.8648648648648649</v>
      </c>
      <c r="D34" s="373">
        <f t="shared" si="3"/>
        <v>5.7142857142857144</v>
      </c>
      <c r="E34" s="373">
        <f t="shared" si="3"/>
        <v>4.8648648648648649</v>
      </c>
      <c r="F34" t="str">
        <f t="shared" si="4"/>
        <v/>
      </c>
      <c r="G34" t="str">
        <f t="shared" si="4"/>
        <v/>
      </c>
      <c r="H34" s="373" t="str">
        <f t="shared" si="5"/>
        <v/>
      </c>
      <c r="I34" s="373" t="str">
        <f t="shared" si="5"/>
        <v/>
      </c>
      <c r="J34" t="e">
        <f t="shared" si="6"/>
        <v>#N/A</v>
      </c>
      <c r="K34" t="e">
        <f t="shared" si="7"/>
        <v>#N/A</v>
      </c>
      <c r="L34" t="e">
        <f t="shared" si="8"/>
        <v>#N/A</v>
      </c>
      <c r="M34" t="e">
        <f t="shared" si="9"/>
        <v>#N/A</v>
      </c>
      <c r="N34">
        <v>211</v>
      </c>
    </row>
    <row r="35" spans="1:14" ht="15" customHeight="1" x14ac:dyDescent="0.25">
      <c r="A35">
        <v>22</v>
      </c>
      <c r="B35" s="371">
        <f>'Tabelle 2.3'!J32</f>
        <v>0</v>
      </c>
      <c r="C35" s="372">
        <f>'Tabelle 3.3'!J32</f>
        <v>1.1843079200592155</v>
      </c>
      <c r="D35" s="373">
        <f t="shared" si="3"/>
        <v>0</v>
      </c>
      <c r="E35" s="373">
        <f t="shared" si="3"/>
        <v>1.1843079200592155</v>
      </c>
      <c r="F35" t="str">
        <f t="shared" si="4"/>
        <v/>
      </c>
      <c r="G35" t="str">
        <f t="shared" si="4"/>
        <v/>
      </c>
      <c r="H35" s="373" t="str">
        <f t="shared" si="5"/>
        <v/>
      </c>
      <c r="I35" s="373" t="str">
        <f t="shared" si="5"/>
        <v/>
      </c>
      <c r="J35" t="e">
        <f t="shared" si="6"/>
        <v>#N/A</v>
      </c>
      <c r="K35" t="e">
        <f t="shared" si="7"/>
        <v>#N/A</v>
      </c>
      <c r="L35" t="e">
        <f t="shared" si="8"/>
        <v>#N/A</v>
      </c>
      <c r="M35" t="e">
        <f t="shared" si="9"/>
        <v>#N/A</v>
      </c>
      <c r="N35">
        <v>222</v>
      </c>
    </row>
    <row r="36" spans="1:14" ht="15" customHeight="1" x14ac:dyDescent="0.25">
      <c r="A36">
        <v>23</v>
      </c>
      <c r="B36" s="371">
        <f>'Tabelle 2.3'!J33</f>
        <v>0</v>
      </c>
      <c r="C36" s="372">
        <f>'Tabelle 3.3'!J33</f>
        <v>0</v>
      </c>
      <c r="D36" s="373">
        <f t="shared" si="3"/>
        <v>0</v>
      </c>
      <c r="E36" s="373">
        <f t="shared" si="3"/>
        <v>0</v>
      </c>
      <c r="F36" t="str">
        <f t="shared" si="4"/>
        <v/>
      </c>
      <c r="G36" t="str">
        <f t="shared" si="4"/>
        <v/>
      </c>
      <c r="H36" s="373" t="str">
        <f t="shared" si="5"/>
        <v/>
      </c>
      <c r="I36" s="373" t="str">
        <f t="shared" si="5"/>
        <v/>
      </c>
      <c r="J36" t="e">
        <f t="shared" si="6"/>
        <v>#N/A</v>
      </c>
      <c r="K36" t="e">
        <f t="shared" si="7"/>
        <v>#N/A</v>
      </c>
      <c r="L36" t="e">
        <f t="shared" si="8"/>
        <v>#N/A</v>
      </c>
      <c r="M36" t="e">
        <f t="shared" si="9"/>
        <v>#N/A</v>
      </c>
      <c r="N36">
        <v>232</v>
      </c>
    </row>
    <row r="37" spans="1:14" ht="15" customHeight="1" x14ac:dyDescent="0.25">
      <c r="A37">
        <v>24</v>
      </c>
      <c r="B37" s="371"/>
      <c r="C37" s="372"/>
      <c r="D37" s="373">
        <f t="shared" si="3"/>
        <v>0</v>
      </c>
      <c r="E37" s="373">
        <f t="shared" si="3"/>
        <v>0</v>
      </c>
      <c r="F37"/>
      <c r="G37"/>
      <c r="H37" s="373"/>
      <c r="J37"/>
      <c r="K37"/>
      <c r="L37"/>
      <c r="M37"/>
      <c r="N37"/>
    </row>
    <row r="38" spans="1:14" ht="15" customHeight="1" x14ac:dyDescent="0.25">
      <c r="A38">
        <v>25</v>
      </c>
      <c r="B38" s="371">
        <f>'Tabelle 2.3'!J35</f>
        <v>-1.1543134872417984</v>
      </c>
      <c r="C38" s="372">
        <f>'Tabelle 3.3'!J35</f>
        <v>-6.8111455108359129</v>
      </c>
      <c r="D38" s="373">
        <f t="shared" si="3"/>
        <v>-1.1543134872417984</v>
      </c>
      <c r="E38" s="373">
        <f t="shared" si="3"/>
        <v>-6.8111455108359129</v>
      </c>
      <c r="F38" t="str">
        <f t="shared" si="4"/>
        <v/>
      </c>
      <c r="G38" t="str">
        <f t="shared" si="4"/>
        <v/>
      </c>
      <c r="H38" s="373" t="str">
        <f t="shared" si="5"/>
        <v/>
      </c>
      <c r="I38" s="373" t="str">
        <f t="shared" si="5"/>
        <v/>
      </c>
      <c r="J38" t="e">
        <f t="shared" si="6"/>
        <v>#N/A</v>
      </c>
      <c r="K38" t="e">
        <f t="shared" si="7"/>
        <v>#N/A</v>
      </c>
      <c r="L38" t="e">
        <f t="shared" si="8"/>
        <v>#N/A</v>
      </c>
      <c r="M38" t="e">
        <f t="shared" si="9"/>
        <v>#N/A</v>
      </c>
      <c r="N38">
        <v>242</v>
      </c>
    </row>
    <row r="39" spans="1:14" ht="15" customHeight="1" x14ac:dyDescent="0.25">
      <c r="A39">
        <v>26</v>
      </c>
      <c r="B39" s="371">
        <f>'Tabelle 2.3'!J36</f>
        <v>-0.97415157376472661</v>
      </c>
      <c r="C39" s="372">
        <f>'Tabelle 3.3'!J36</f>
        <v>1.5651201788708775</v>
      </c>
      <c r="D39" s="373">
        <f t="shared" si="3"/>
        <v>-0.97415157376472661</v>
      </c>
      <c r="E39" s="373">
        <f t="shared" si="3"/>
        <v>1.5651201788708775</v>
      </c>
      <c r="F39" t="str">
        <f t="shared" si="4"/>
        <v/>
      </c>
      <c r="G39" t="str">
        <f t="shared" si="4"/>
        <v/>
      </c>
      <c r="H39" s="373" t="str">
        <f t="shared" si="5"/>
        <v/>
      </c>
      <c r="I39" s="373" t="str">
        <f t="shared" si="5"/>
        <v/>
      </c>
      <c r="J39" t="e">
        <f t="shared" si="6"/>
        <v>#N/A</v>
      </c>
      <c r="K39" t="e">
        <f t="shared" si="7"/>
        <v>#N/A</v>
      </c>
      <c r="L39" t="e">
        <f t="shared" si="8"/>
        <v>#N/A</v>
      </c>
      <c r="M39" t="e">
        <f t="shared" si="9"/>
        <v>#N/A</v>
      </c>
      <c r="N39">
        <v>253</v>
      </c>
    </row>
    <row r="40" spans="1:14" ht="15" customHeight="1" x14ac:dyDescent="0.25">
      <c r="A40">
        <v>27</v>
      </c>
      <c r="B40" s="371">
        <f>'Tabelle 2.3'!J37</f>
        <v>-0.73731610064622577</v>
      </c>
      <c r="C40" s="372">
        <f>'Tabelle 3.3'!J37</f>
        <v>2.997835497835498</v>
      </c>
      <c r="D40" s="373">
        <f t="shared" si="3"/>
        <v>-0.73731610064622577</v>
      </c>
      <c r="E40" s="373">
        <f t="shared" si="3"/>
        <v>2.997835497835498</v>
      </c>
      <c r="F40" t="str">
        <f t="shared" si="4"/>
        <v/>
      </c>
      <c r="G40" t="str">
        <f t="shared" si="4"/>
        <v/>
      </c>
      <c r="H40" s="373" t="str">
        <f t="shared" si="5"/>
        <v/>
      </c>
      <c r="I40" s="373" t="str">
        <f t="shared" si="5"/>
        <v/>
      </c>
      <c r="J40" t="e">
        <f t="shared" si="6"/>
        <v>#N/A</v>
      </c>
      <c r="K40" t="e">
        <f t="shared" si="7"/>
        <v>#N/A</v>
      </c>
      <c r="L40" t="e">
        <f t="shared" si="8"/>
        <v>#N/A</v>
      </c>
      <c r="M40" t="e">
        <f t="shared" si="9"/>
        <v>#N/A</v>
      </c>
      <c r="N40">
        <v>263</v>
      </c>
    </row>
    <row r="41" spans="1:14" ht="15" customHeight="1" x14ac:dyDescent="0.25">
      <c r="A41">
        <v>28</v>
      </c>
      <c r="B41" s="371" t="e">
        <f>'Tabelle 2.3'!#REF!</f>
        <v>#REF!</v>
      </c>
      <c r="C41" s="372" t="e">
        <f>'Tabelle 3.3'!#REF!</f>
        <v>#REF!</v>
      </c>
      <c r="D41" s="373" t="e">
        <f t="shared" si="3"/>
        <v>#REF!</v>
      </c>
      <c r="E41" s="373" t="e">
        <f t="shared" si="3"/>
        <v>#REF!</v>
      </c>
      <c r="F41" t="str">
        <f t="shared" si="4"/>
        <v/>
      </c>
      <c r="G41" t="str">
        <f t="shared" si="4"/>
        <v/>
      </c>
      <c r="H41" s="373" t="e">
        <f t="shared" si="5"/>
        <v>#REF!</v>
      </c>
      <c r="I41" s="373" t="e">
        <f t="shared" si="5"/>
        <v>#REF!</v>
      </c>
      <c r="J41" t="e">
        <f t="shared" si="6"/>
        <v>#REF!</v>
      </c>
      <c r="K41" t="e">
        <f t="shared" si="7"/>
        <v>#REF!</v>
      </c>
      <c r="L41" t="e">
        <f t="shared" si="8"/>
        <v>#REF!</v>
      </c>
      <c r="M41" t="e">
        <f t="shared" si="9"/>
        <v>#REF!</v>
      </c>
      <c r="N41">
        <v>273</v>
      </c>
    </row>
    <row r="42" spans="1:14" ht="15" customHeight="1" x14ac:dyDescent="0.25">
      <c r="A42">
        <v>29</v>
      </c>
      <c r="B42" s="371" t="e">
        <f>'Tabelle 2.3'!#REF!</f>
        <v>#REF!</v>
      </c>
      <c r="C42" s="372" t="e">
        <f>'Tabelle 3.3'!#REF!</f>
        <v>#REF!</v>
      </c>
      <c r="D42" s="373" t="e">
        <f t="shared" si="3"/>
        <v>#REF!</v>
      </c>
      <c r="E42" s="373" t="e">
        <f t="shared" si="3"/>
        <v>#REF!</v>
      </c>
      <c r="F42" t="str">
        <f t="shared" si="4"/>
        <v/>
      </c>
      <c r="G42" t="str">
        <f t="shared" si="4"/>
        <v/>
      </c>
      <c r="H42" s="373" t="e">
        <f t="shared" si="5"/>
        <v>#REF!</v>
      </c>
      <c r="I42" s="373" t="e">
        <f t="shared" si="5"/>
        <v>#REF!</v>
      </c>
      <c r="J42" t="e">
        <f t="shared" si="6"/>
        <v>#REF!</v>
      </c>
      <c r="K42" t="e">
        <f t="shared" si="7"/>
        <v>#REF!</v>
      </c>
      <c r="L42" t="e">
        <f t="shared" si="8"/>
        <v>#REF!</v>
      </c>
      <c r="M42" t="e">
        <f t="shared" si="9"/>
        <v>#REF!</v>
      </c>
      <c r="N42">
        <v>284</v>
      </c>
    </row>
    <row r="43" spans="1:14" ht="15" customHeight="1" x14ac:dyDescent="0.25">
      <c r="A43">
        <v>30</v>
      </c>
      <c r="B43" s="371" t="e">
        <f>'Tabelle 2.3'!#REF!</f>
        <v>#REF!</v>
      </c>
      <c r="C43" s="372" t="e">
        <f>'Tabelle 3.3'!#REF!</f>
        <v>#REF!</v>
      </c>
      <c r="D43" s="373" t="e">
        <f t="shared" si="3"/>
        <v>#REF!</v>
      </c>
      <c r="E43" s="373" t="e">
        <f t="shared" si="3"/>
        <v>#REF!</v>
      </c>
      <c r="F43" t="str">
        <f t="shared" si="4"/>
        <v/>
      </c>
      <c r="G43" t="str">
        <f t="shared" si="4"/>
        <v/>
      </c>
      <c r="H43" s="373" t="e">
        <f t="shared" si="5"/>
        <v>#REF!</v>
      </c>
      <c r="I43" s="373" t="e">
        <f t="shared" si="5"/>
        <v>#REF!</v>
      </c>
      <c r="J43" t="e">
        <f t="shared" si="6"/>
        <v>#REF!</v>
      </c>
      <c r="K43" t="e">
        <f t="shared" si="7"/>
        <v>#REF!</v>
      </c>
      <c r="L43" t="e">
        <f t="shared" si="8"/>
        <v>#REF!</v>
      </c>
      <c r="M43" t="e">
        <f t="shared" si="9"/>
        <v>#REF!</v>
      </c>
      <c r="N43">
        <v>294</v>
      </c>
    </row>
    <row r="44" spans="1:14" ht="15" customHeight="1" x14ac:dyDescent="0.25">
      <c r="A44">
        <v>31</v>
      </c>
      <c r="B44" s="371" t="e">
        <f>'Tabelle 2.3'!#REF!</f>
        <v>#REF!</v>
      </c>
      <c r="C44" s="372" t="e">
        <f>'Tabelle 3.3'!#REF!</f>
        <v>#REF!</v>
      </c>
      <c r="D44" s="373" t="e">
        <f t="shared" si="3"/>
        <v>#REF!</v>
      </c>
      <c r="E44" s="373" t="e">
        <f t="shared" si="3"/>
        <v>#REF!</v>
      </c>
      <c r="F44" t="str">
        <f t="shared" si="4"/>
        <v/>
      </c>
      <c r="G44" t="str">
        <f t="shared" si="4"/>
        <v/>
      </c>
      <c r="H44" s="373" t="e">
        <f t="shared" si="5"/>
        <v>#REF!</v>
      </c>
      <c r="I44" s="373" t="e">
        <f t="shared" si="5"/>
        <v>#REF!</v>
      </c>
      <c r="J44" t="e">
        <f t="shared" si="6"/>
        <v>#REF!</v>
      </c>
      <c r="K44" t="e">
        <f t="shared" si="7"/>
        <v>#REF!</v>
      </c>
      <c r="L44" t="e">
        <f t="shared" si="8"/>
        <v>#REF!</v>
      </c>
      <c r="M44" t="e">
        <f t="shared" si="9"/>
        <v>#REF!</v>
      </c>
      <c r="N44">
        <v>304</v>
      </c>
    </row>
    <row r="45" spans="1:14" ht="15" customHeight="1" x14ac:dyDescent="0.25">
      <c r="A45">
        <v>32</v>
      </c>
      <c r="B45" s="371" t="e">
        <f>'Tabelle 2.3'!#REF!</f>
        <v>#REF!</v>
      </c>
      <c r="C45" s="372" t="e">
        <f>'Tabelle 3.3'!#REF!</f>
        <v>#REF!</v>
      </c>
      <c r="D45" s="373" t="e">
        <f t="shared" si="3"/>
        <v>#REF!</v>
      </c>
      <c r="E45" s="373" t="e">
        <f t="shared" si="3"/>
        <v>#REF!</v>
      </c>
      <c r="F45" t="str">
        <f t="shared" si="4"/>
        <v/>
      </c>
      <c r="G45" t="str">
        <f t="shared" si="4"/>
        <v/>
      </c>
      <c r="H45" s="373" t="e">
        <f t="shared" si="5"/>
        <v>#REF!</v>
      </c>
      <c r="I45" s="373" t="e">
        <f t="shared" si="5"/>
        <v>#REF!</v>
      </c>
      <c r="J45" t="e">
        <f t="shared" si="6"/>
        <v>#REF!</v>
      </c>
      <c r="K45" t="e">
        <f t="shared" si="7"/>
        <v>#REF!</v>
      </c>
      <c r="L45" t="e">
        <f t="shared" si="8"/>
        <v>#REF!</v>
      </c>
      <c r="M45" t="e">
        <f t="shared" si="9"/>
        <v>#REF!</v>
      </c>
      <c r="N45">
        <v>315</v>
      </c>
    </row>
    <row r="46" spans="1:14" ht="15" customHeight="1" x14ac:dyDescent="0.25">
      <c r="A46">
        <v>33</v>
      </c>
      <c r="B46" s="371">
        <f>'Tabelle 2.3'!J37</f>
        <v>-0.73731610064622577</v>
      </c>
      <c r="C46" s="372">
        <f>'Tabelle 3.3'!J37</f>
        <v>2.997835497835498</v>
      </c>
      <c r="D46" s="373">
        <f t="shared" si="3"/>
        <v>-0.73731610064622577</v>
      </c>
      <c r="E46" s="373">
        <f t="shared" si="3"/>
        <v>2.997835497835498</v>
      </c>
      <c r="F46" t="str">
        <f t="shared" si="4"/>
        <v/>
      </c>
      <c r="G46" t="str">
        <f t="shared" si="4"/>
        <v/>
      </c>
      <c r="H46" s="373" t="str">
        <f t="shared" si="5"/>
        <v/>
      </c>
      <c r="I46" s="373" t="str">
        <f t="shared" si="5"/>
        <v/>
      </c>
      <c r="J46" t="e">
        <f t="shared" si="6"/>
        <v>#N/A</v>
      </c>
      <c r="K46" t="e">
        <f t="shared" si="7"/>
        <v>#N/A</v>
      </c>
      <c r="L46" t="e">
        <f t="shared" si="8"/>
        <v>#N/A</v>
      </c>
      <c r="M46" t="e">
        <f t="shared" si="9"/>
        <v>#N/A</v>
      </c>
      <c r="N46">
        <v>325</v>
      </c>
    </row>
    <row r="47" spans="1:14" ht="15" customHeight="1" x14ac:dyDescent="0.25">
      <c r="A47"/>
      <c r="E47"/>
      <c r="F47"/>
      <c r="G47"/>
      <c r="I47"/>
      <c r="J47"/>
      <c r="K47"/>
      <c r="L47"/>
      <c r="M47"/>
      <c r="N47"/>
    </row>
    <row r="48" spans="1:14" ht="15" customHeight="1" x14ac:dyDescent="0.25">
      <c r="A48"/>
      <c r="D48" s="374"/>
      <c r="E48"/>
      <c r="F48"/>
      <c r="G48"/>
      <c r="I48"/>
      <c r="J48"/>
      <c r="K48"/>
      <c r="L48"/>
      <c r="M48"/>
      <c r="N48"/>
    </row>
    <row r="49" spans="1:14" ht="15" customHeight="1" x14ac:dyDescent="0.3">
      <c r="A49" s="318" t="s">
        <v>486</v>
      </c>
      <c r="E49"/>
      <c r="F49"/>
      <c r="G49"/>
      <c r="I49"/>
      <c r="J49"/>
      <c r="K49"/>
      <c r="L49"/>
      <c r="M49"/>
      <c r="N49"/>
    </row>
    <row r="50" spans="1:14" ht="15" customHeight="1" x14ac:dyDescent="0.25">
      <c r="A50" s="536" t="s">
        <v>487</v>
      </c>
      <c r="B50" s="535" t="s">
        <v>96</v>
      </c>
      <c r="C50" s="535"/>
      <c r="D50" s="535"/>
      <c r="E50" s="537" t="s">
        <v>488</v>
      </c>
      <c r="F50" s="537"/>
      <c r="G50" s="537"/>
      <c r="H50" s="538" t="s">
        <v>489</v>
      </c>
      <c r="I50" s="537" t="s">
        <v>490</v>
      </c>
      <c r="J50" s="537"/>
      <c r="K50" s="537"/>
      <c r="L50" s="300" t="s">
        <v>491</v>
      </c>
      <c r="M50"/>
      <c r="N50"/>
    </row>
    <row r="51" spans="1:14" ht="40" customHeight="1" x14ac:dyDescent="0.25">
      <c r="A51" s="536"/>
      <c r="B51" s="375">
        <v>76479</v>
      </c>
      <c r="C51" s="375">
        <v>75566</v>
      </c>
      <c r="D51" s="375">
        <v>35950</v>
      </c>
      <c r="E51" s="375" t="s">
        <v>474</v>
      </c>
      <c r="F51" s="375" t="s">
        <v>114</v>
      </c>
      <c r="G51" s="375" t="s">
        <v>115</v>
      </c>
      <c r="H51" s="538"/>
      <c r="I51" s="375" t="s">
        <v>474</v>
      </c>
      <c r="J51" s="375" t="s">
        <v>114</v>
      </c>
      <c r="K51" s="375" t="s">
        <v>115</v>
      </c>
      <c r="L51" s="375" t="s">
        <v>492</v>
      </c>
      <c r="M51" s="375"/>
      <c r="N51" s="375"/>
    </row>
    <row r="52" spans="1:14" ht="15" customHeight="1" x14ac:dyDescent="0.25">
      <c r="A52" s="376" t="s">
        <v>493</v>
      </c>
      <c r="B52" s="377">
        <v>86989</v>
      </c>
      <c r="C52" s="377">
        <v>8616</v>
      </c>
      <c r="D52" s="377">
        <v>3176</v>
      </c>
      <c r="E52" s="373">
        <f>IF($A$52=37802,IF(COUNTBLANK(B$52:B$71)&gt;0,#N/A,B52/B$52*100),IF(COUNTBLANK(B$52:B$76)&gt;0,#N/A,B52/B$52*100))</f>
        <v>100</v>
      </c>
      <c r="F52" s="373">
        <f>IF($A$52=37802,IF(COUNTBLANK(C$52:C$71)&gt;0,#N/A,C52/C$52*100),IF(COUNTBLANK(C$52:C$76)&gt;0,#N/A,C52/C$52*100))</f>
        <v>100</v>
      </c>
      <c r="G52" s="373">
        <f>IF($A$52=37802,IF(COUNTBLANK(D$52:D$71)&gt;0,#N/A,D52/D$52*100),IF(COUNTBLANK(D$52:D$76)&gt;0,#N/A,D52/D$52*100))</f>
        <v>100</v>
      </c>
      <c r="H52" s="378" t="str">
        <f>IF(ISERROR(L52)=TRUE,IF(MONTH(A52)=MONTH(MAX(A$52:A$76)),A52,""),"")</f>
        <v/>
      </c>
      <c r="I52" s="373" t="str">
        <f>IF($H52&lt;&gt;"",E52,"")</f>
        <v/>
      </c>
      <c r="J52" s="373" t="str">
        <f>IF($H52&lt;&gt;"",F52,"")</f>
        <v/>
      </c>
      <c r="K52" s="373" t="str">
        <f t="shared" ref="J52:K67" si="10">IF($H52&lt;&gt;"",G52,"")</f>
        <v/>
      </c>
      <c r="L52" s="373" t="e">
        <f>IF(A$52=37802,IF(AND(COUNTBLANK(B$52:B$71)&lt;&gt;0,COUNTBLANK(C$52:C$71)&lt;&gt;0,COUNTBLANK(D$52:D$71)&lt;&gt;0),135,#N/A),IF(AND(COUNTBLANK(B$52:B$76)&lt;&gt;0,COUNTBLANK(C$52:C$76)&lt;&gt;0,COUNTBLANK(D$52:D$76)&lt;&gt;0),135,#N/A))</f>
        <v>#N/A</v>
      </c>
    </row>
    <row r="53" spans="1:14" ht="15" customHeight="1" x14ac:dyDescent="0.25">
      <c r="A53" s="376">
        <v>43709</v>
      </c>
      <c r="B53" s="377">
        <v>88284</v>
      </c>
      <c r="C53" s="377">
        <v>8415</v>
      </c>
      <c r="D53" s="377">
        <v>3228</v>
      </c>
      <c r="E53" s="373">
        <f t="shared" ref="E53:G71" si="11">IF($A$52=37802,IF(COUNTBLANK(B$52:B$71)&gt;0,#N/A,B53/B$52*100),IF(COUNTBLANK(B$52:B$76)&gt;0,#N/A,B53/B$52*100))</f>
        <v>101.48869397280116</v>
      </c>
      <c r="F53" s="373">
        <f t="shared" si="11"/>
        <v>97.667130919220057</v>
      </c>
      <c r="G53" s="373">
        <f t="shared" si="11"/>
        <v>101.63727959697732</v>
      </c>
      <c r="H53" s="378">
        <f>IF(ISERROR(L53)=TRUE,IF(MONTH(A53)=MONTH(MAX(A$52:A$76)),A53,""),"")</f>
        <v>43709</v>
      </c>
      <c r="I53" s="373">
        <f t="shared" ref="I53:K76" si="12">IF($H53&lt;&gt;"",E53,"")</f>
        <v>101.48869397280116</v>
      </c>
      <c r="J53" s="373">
        <f t="shared" si="10"/>
        <v>97.667130919220057</v>
      </c>
      <c r="K53" s="373">
        <f t="shared" si="10"/>
        <v>101.63727959697732</v>
      </c>
      <c r="L53" s="373" t="e">
        <f t="shared" ref="L53:L76" si="13">IF(A$52=37802,IF(AND(COUNTBLANK(B$52:B$71)&lt;&gt;0,COUNTBLANK(C$52:C$71)&lt;&gt;0,COUNTBLANK(D$52:D$71)&lt;&gt;0),135,#N/A),IF(AND(COUNTBLANK(B$52:B$76)&lt;&gt;0,COUNTBLANK(C$52:C$76)&lt;&gt;0,COUNTBLANK(D$52:D$76)&lt;&gt;0),135,#N/A))</f>
        <v>#N/A</v>
      </c>
    </row>
    <row r="54" spans="1:14" ht="15" customHeight="1" x14ac:dyDescent="0.25">
      <c r="A54" s="379" t="s">
        <v>494</v>
      </c>
      <c r="B54" s="377">
        <v>87371</v>
      </c>
      <c r="C54" s="377">
        <v>8412</v>
      </c>
      <c r="D54" s="377">
        <v>3225</v>
      </c>
      <c r="E54" s="373">
        <f t="shared" si="11"/>
        <v>100.43913598271045</v>
      </c>
      <c r="F54" s="373">
        <f t="shared" si="11"/>
        <v>97.632311977715887</v>
      </c>
      <c r="G54" s="373">
        <f t="shared" si="11"/>
        <v>101.54282115869017</v>
      </c>
      <c r="H54" s="378" t="str">
        <f>IF(ISERROR(L54)=TRUE,IF(MONTH(A54)=MONTH(MAX(A$52:A$76)),A54,""),"")</f>
        <v/>
      </c>
      <c r="I54" s="373" t="str">
        <f t="shared" si="12"/>
        <v/>
      </c>
      <c r="J54" s="373" t="str">
        <f t="shared" si="10"/>
        <v/>
      </c>
      <c r="K54" s="373" t="str">
        <f t="shared" si="10"/>
        <v/>
      </c>
      <c r="L54" s="373" t="e">
        <f t="shared" si="13"/>
        <v>#N/A</v>
      </c>
    </row>
    <row r="55" spans="1:14" ht="15" customHeight="1" x14ac:dyDescent="0.25">
      <c r="A55" s="379" t="s">
        <v>495</v>
      </c>
      <c r="B55" s="377">
        <v>86862</v>
      </c>
      <c r="C55" s="377">
        <v>8023</v>
      </c>
      <c r="D55" s="377">
        <v>3076</v>
      </c>
      <c r="E55" s="373">
        <f t="shared" si="11"/>
        <v>99.854004529308298</v>
      </c>
      <c r="F55" s="373">
        <f t="shared" si="11"/>
        <v>93.117455896007428</v>
      </c>
      <c r="G55" s="373">
        <f t="shared" si="11"/>
        <v>96.85138539042822</v>
      </c>
      <c r="H55" s="378" t="str">
        <f>IF(ISERROR(L55)=TRUE,IF(MONTH(A55)=MONTH(MAX(A$52:A$76)),A55,""),"")</f>
        <v/>
      </c>
      <c r="I55" s="373" t="str">
        <f t="shared" si="12"/>
        <v/>
      </c>
      <c r="J55" s="373" t="str">
        <f t="shared" si="10"/>
        <v/>
      </c>
      <c r="K55" s="373" t="str">
        <f t="shared" si="10"/>
        <v/>
      </c>
      <c r="L55" s="373" t="e">
        <f t="shared" si="13"/>
        <v>#N/A</v>
      </c>
    </row>
    <row r="56" spans="1:14" ht="15" customHeight="1" x14ac:dyDescent="0.25">
      <c r="A56" s="379" t="s">
        <v>496</v>
      </c>
      <c r="B56" s="377">
        <v>86599</v>
      </c>
      <c r="C56" s="377">
        <v>7696</v>
      </c>
      <c r="D56" s="377">
        <v>3082</v>
      </c>
      <c r="E56" s="373">
        <f t="shared" si="11"/>
        <v>99.551667452206601</v>
      </c>
      <c r="F56" s="373">
        <f t="shared" si="11"/>
        <v>89.322191272051995</v>
      </c>
      <c r="G56" s="373">
        <f t="shared" si="11"/>
        <v>97.040302267002517</v>
      </c>
      <c r="H56" s="378" t="str">
        <f t="shared" ref="H56:H71" si="14">IF(ISERROR(L56)=TRUE,IF(MONTH(A56)=MONTH(MAX(A$52:A$76)),A56,""),"")</f>
        <v/>
      </c>
      <c r="I56" s="373" t="str">
        <f t="shared" si="12"/>
        <v/>
      </c>
      <c r="J56" s="373" t="str">
        <f t="shared" si="10"/>
        <v/>
      </c>
      <c r="K56" s="373" t="str">
        <f t="shared" si="10"/>
        <v/>
      </c>
      <c r="L56" s="373" t="e">
        <f t="shared" si="13"/>
        <v>#N/A</v>
      </c>
    </row>
    <row r="57" spans="1:14" ht="15" customHeight="1" x14ac:dyDescent="0.25">
      <c r="A57" s="379">
        <v>44075</v>
      </c>
      <c r="B57" s="377">
        <v>87903</v>
      </c>
      <c r="C57" s="377">
        <v>7847</v>
      </c>
      <c r="D57" s="377">
        <v>3189</v>
      </c>
      <c r="E57" s="373">
        <f t="shared" si="11"/>
        <v>101.05070756072607</v>
      </c>
      <c r="F57" s="373">
        <f t="shared" si="11"/>
        <v>91.074744661095636</v>
      </c>
      <c r="G57" s="373">
        <f t="shared" si="11"/>
        <v>100.40931989924434</v>
      </c>
      <c r="H57" s="378">
        <f t="shared" si="14"/>
        <v>44075</v>
      </c>
      <c r="I57" s="373">
        <f t="shared" si="12"/>
        <v>101.05070756072607</v>
      </c>
      <c r="J57" s="373">
        <f t="shared" si="10"/>
        <v>91.074744661095636</v>
      </c>
      <c r="K57" s="373">
        <f t="shared" si="10"/>
        <v>100.40931989924434</v>
      </c>
      <c r="L57" s="373" t="e">
        <f t="shared" si="13"/>
        <v>#N/A</v>
      </c>
    </row>
    <row r="58" spans="1:14" ht="15" customHeight="1" x14ac:dyDescent="0.25">
      <c r="A58" s="379" t="s">
        <v>497</v>
      </c>
      <c r="B58" s="377">
        <v>87361</v>
      </c>
      <c r="C58" s="377">
        <v>7565</v>
      </c>
      <c r="D58" s="377">
        <v>3101</v>
      </c>
      <c r="E58" s="373">
        <f t="shared" si="11"/>
        <v>100.42764027635678</v>
      </c>
      <c r="F58" s="373">
        <f t="shared" si="11"/>
        <v>87.801764159702884</v>
      </c>
      <c r="G58" s="373">
        <f t="shared" si="11"/>
        <v>97.638539042821165</v>
      </c>
      <c r="H58" s="378" t="str">
        <f t="shared" si="14"/>
        <v/>
      </c>
      <c r="I58" s="373" t="str">
        <f t="shared" si="12"/>
        <v/>
      </c>
      <c r="J58" s="373" t="str">
        <f t="shared" si="10"/>
        <v/>
      </c>
      <c r="K58" s="373" t="str">
        <f t="shared" si="10"/>
        <v/>
      </c>
      <c r="L58" s="373" t="e">
        <f t="shared" si="13"/>
        <v>#N/A</v>
      </c>
    </row>
    <row r="59" spans="1:14" ht="15" customHeight="1" x14ac:dyDescent="0.25">
      <c r="A59" s="379" t="s">
        <v>498</v>
      </c>
      <c r="B59" s="377">
        <v>86575</v>
      </c>
      <c r="C59" s="377">
        <v>7350</v>
      </c>
      <c r="D59" s="377">
        <v>3114</v>
      </c>
      <c r="E59" s="373">
        <f t="shared" si="11"/>
        <v>99.52407775695778</v>
      </c>
      <c r="F59" s="373">
        <f t="shared" si="11"/>
        <v>85.306406685236766</v>
      </c>
      <c r="G59" s="373">
        <f t="shared" si="11"/>
        <v>98.047858942065488</v>
      </c>
      <c r="H59" s="378" t="str">
        <f t="shared" si="14"/>
        <v/>
      </c>
      <c r="I59" s="373" t="str">
        <f t="shared" si="12"/>
        <v/>
      </c>
      <c r="J59" s="373" t="str">
        <f t="shared" si="10"/>
        <v/>
      </c>
      <c r="K59" s="373" t="str">
        <f t="shared" si="10"/>
        <v/>
      </c>
      <c r="L59" s="373" t="e">
        <f t="shared" si="13"/>
        <v>#N/A</v>
      </c>
    </row>
    <row r="60" spans="1:14" ht="15" customHeight="1" x14ac:dyDescent="0.25">
      <c r="A60" s="379" t="s">
        <v>499</v>
      </c>
      <c r="B60" s="377">
        <v>87376</v>
      </c>
      <c r="C60" s="377">
        <v>7459</v>
      </c>
      <c r="D60" s="377">
        <v>3282</v>
      </c>
      <c r="E60" s="373">
        <f t="shared" si="11"/>
        <v>100.4448838358873</v>
      </c>
      <c r="F60" s="373">
        <f t="shared" si="11"/>
        <v>86.57149489322191</v>
      </c>
      <c r="G60" s="373">
        <f t="shared" si="11"/>
        <v>103.3375314861461</v>
      </c>
      <c r="H60" s="378" t="str">
        <f t="shared" si="14"/>
        <v/>
      </c>
      <c r="I60" s="373" t="str">
        <f t="shared" si="12"/>
        <v/>
      </c>
      <c r="J60" s="373" t="str">
        <f t="shared" si="10"/>
        <v/>
      </c>
      <c r="K60" s="373" t="str">
        <f t="shared" si="10"/>
        <v/>
      </c>
      <c r="L60" s="373" t="e">
        <f t="shared" si="13"/>
        <v>#N/A</v>
      </c>
    </row>
    <row r="61" spans="1:14" ht="15" customHeight="1" x14ac:dyDescent="0.25">
      <c r="A61" s="379">
        <v>44440</v>
      </c>
      <c r="B61" s="377">
        <v>88788</v>
      </c>
      <c r="C61" s="377">
        <v>7621</v>
      </c>
      <c r="D61" s="377">
        <v>3419</v>
      </c>
      <c r="E61" s="373">
        <f t="shared" si="11"/>
        <v>102.06807757302647</v>
      </c>
      <c r="F61" s="373">
        <f t="shared" si="11"/>
        <v>88.451717734447541</v>
      </c>
      <c r="G61" s="373">
        <f t="shared" si="11"/>
        <v>107.65113350125945</v>
      </c>
      <c r="H61" s="378">
        <f t="shared" si="14"/>
        <v>44440</v>
      </c>
      <c r="I61" s="373">
        <f t="shared" si="12"/>
        <v>102.06807757302647</v>
      </c>
      <c r="J61" s="373">
        <f t="shared" si="10"/>
        <v>88.451717734447541</v>
      </c>
      <c r="K61" s="373">
        <f t="shared" si="10"/>
        <v>107.65113350125945</v>
      </c>
      <c r="L61" s="373" t="e">
        <f t="shared" si="13"/>
        <v>#N/A</v>
      </c>
    </row>
    <row r="62" spans="1:14" ht="15" customHeight="1" x14ac:dyDescent="0.25">
      <c r="A62" s="379" t="s">
        <v>500</v>
      </c>
      <c r="B62" s="377">
        <v>88381</v>
      </c>
      <c r="C62" s="377">
        <v>7303</v>
      </c>
      <c r="D62" s="377">
        <v>3280</v>
      </c>
      <c r="E62" s="373">
        <f t="shared" si="11"/>
        <v>101.60020232443183</v>
      </c>
      <c r="F62" s="373">
        <f t="shared" si="11"/>
        <v>84.760909935004648</v>
      </c>
      <c r="G62" s="373">
        <f t="shared" si="11"/>
        <v>103.27455919395464</v>
      </c>
      <c r="H62" s="378" t="str">
        <f t="shared" si="14"/>
        <v/>
      </c>
      <c r="I62" s="373" t="str">
        <f t="shared" si="12"/>
        <v/>
      </c>
      <c r="J62" s="373" t="str">
        <f t="shared" si="10"/>
        <v/>
      </c>
      <c r="K62" s="373" t="str">
        <f t="shared" si="10"/>
        <v/>
      </c>
      <c r="L62" s="373" t="e">
        <f t="shared" si="13"/>
        <v>#N/A</v>
      </c>
    </row>
    <row r="63" spans="1:14" ht="15" customHeight="1" x14ac:dyDescent="0.25">
      <c r="A63" s="379" t="s">
        <v>501</v>
      </c>
      <c r="B63" s="377">
        <v>88346</v>
      </c>
      <c r="C63" s="377">
        <v>7201</v>
      </c>
      <c r="D63" s="377">
        <v>3254</v>
      </c>
      <c r="E63" s="373">
        <f t="shared" si="11"/>
        <v>101.55996735219395</v>
      </c>
      <c r="F63" s="373">
        <f t="shared" si="11"/>
        <v>83.577065923862577</v>
      </c>
      <c r="G63" s="373">
        <f t="shared" si="11"/>
        <v>102.45591939546598</v>
      </c>
      <c r="H63" s="378" t="str">
        <f t="shared" si="14"/>
        <v/>
      </c>
      <c r="I63" s="373" t="str">
        <f t="shared" si="12"/>
        <v/>
      </c>
      <c r="J63" s="373" t="str">
        <f t="shared" si="10"/>
        <v/>
      </c>
      <c r="K63" s="373" t="str">
        <f t="shared" si="10"/>
        <v/>
      </c>
      <c r="L63" s="373" t="e">
        <f t="shared" si="13"/>
        <v>#N/A</v>
      </c>
    </row>
    <row r="64" spans="1:14" ht="15" customHeight="1" x14ac:dyDescent="0.25">
      <c r="A64" s="379" t="s">
        <v>502</v>
      </c>
      <c r="B64" s="377">
        <v>88343</v>
      </c>
      <c r="C64" s="377">
        <v>7433</v>
      </c>
      <c r="D64" s="377">
        <v>3383</v>
      </c>
      <c r="E64" s="373">
        <f t="shared" si="11"/>
        <v>101.55651864028785</v>
      </c>
      <c r="F64" s="373">
        <f t="shared" si="11"/>
        <v>86.26973073351904</v>
      </c>
      <c r="G64" s="373">
        <f t="shared" si="11"/>
        <v>106.51763224181362</v>
      </c>
      <c r="H64" s="378" t="str">
        <f t="shared" si="14"/>
        <v/>
      </c>
      <c r="I64" s="373" t="str">
        <f t="shared" si="12"/>
        <v/>
      </c>
      <c r="J64" s="373" t="str">
        <f t="shared" si="10"/>
        <v/>
      </c>
      <c r="K64" s="373" t="str">
        <f t="shared" si="10"/>
        <v/>
      </c>
      <c r="L64" s="373" t="e">
        <f t="shared" si="13"/>
        <v>#N/A</v>
      </c>
    </row>
    <row r="65" spans="1:12" ht="15" customHeight="1" x14ac:dyDescent="0.25">
      <c r="A65" s="379">
        <v>44805</v>
      </c>
      <c r="B65" s="377">
        <v>89273</v>
      </c>
      <c r="C65" s="377">
        <v>7478</v>
      </c>
      <c r="D65" s="377">
        <v>3434</v>
      </c>
      <c r="E65" s="373">
        <f t="shared" si="11"/>
        <v>102.62561933117979</v>
      </c>
      <c r="F65" s="373">
        <f t="shared" si="11"/>
        <v>86.792014856081707</v>
      </c>
      <c r="G65" s="373">
        <f t="shared" si="11"/>
        <v>108.12342569269522</v>
      </c>
      <c r="H65" s="378">
        <f t="shared" si="14"/>
        <v>44805</v>
      </c>
      <c r="I65" s="373">
        <f t="shared" si="12"/>
        <v>102.62561933117979</v>
      </c>
      <c r="J65" s="373">
        <f t="shared" si="10"/>
        <v>86.792014856081707</v>
      </c>
      <c r="K65" s="373">
        <f t="shared" si="10"/>
        <v>108.12342569269522</v>
      </c>
      <c r="L65" s="373" t="e">
        <f t="shared" si="13"/>
        <v>#N/A</v>
      </c>
    </row>
    <row r="66" spans="1:12" ht="15" customHeight="1" x14ac:dyDescent="0.25">
      <c r="A66" s="379" t="s">
        <v>503</v>
      </c>
      <c r="B66" s="377">
        <v>89211</v>
      </c>
      <c r="C66" s="377">
        <v>7444</v>
      </c>
      <c r="D66" s="377">
        <v>3428</v>
      </c>
      <c r="E66" s="373">
        <f t="shared" si="11"/>
        <v>102.55434595178701</v>
      </c>
      <c r="F66" s="373">
        <f t="shared" si="11"/>
        <v>86.397400185701017</v>
      </c>
      <c r="G66" s="373">
        <f t="shared" si="11"/>
        <v>107.9345088161209</v>
      </c>
      <c r="H66" s="378" t="str">
        <f t="shared" si="14"/>
        <v/>
      </c>
      <c r="I66" s="373" t="str">
        <f t="shared" si="12"/>
        <v/>
      </c>
      <c r="J66" s="373" t="str">
        <f t="shared" si="10"/>
        <v/>
      </c>
      <c r="K66" s="373" t="str">
        <f t="shared" si="10"/>
        <v/>
      </c>
      <c r="L66" s="373" t="e">
        <f t="shared" si="13"/>
        <v>#N/A</v>
      </c>
    </row>
    <row r="67" spans="1:12" ht="15" customHeight="1" x14ac:dyDescent="0.25">
      <c r="A67" s="379" t="s">
        <v>504</v>
      </c>
      <c r="B67" s="377">
        <v>88773</v>
      </c>
      <c r="C67" s="377">
        <v>7391</v>
      </c>
      <c r="D67" s="377">
        <v>3381</v>
      </c>
      <c r="E67" s="373">
        <f t="shared" si="11"/>
        <v>102.05083401349594</v>
      </c>
      <c r="F67" s="373">
        <f t="shared" si="11"/>
        <v>85.78226555246053</v>
      </c>
      <c r="G67" s="373">
        <f t="shared" si="11"/>
        <v>106.45465994962218</v>
      </c>
      <c r="H67" s="378" t="str">
        <f t="shared" si="14"/>
        <v/>
      </c>
      <c r="I67" s="373" t="str">
        <f t="shared" si="12"/>
        <v/>
      </c>
      <c r="J67" s="373" t="str">
        <f t="shared" si="10"/>
        <v/>
      </c>
      <c r="K67" s="373" t="str">
        <f t="shared" si="10"/>
        <v/>
      </c>
      <c r="L67" s="373" t="e">
        <f t="shared" si="13"/>
        <v>#N/A</v>
      </c>
    </row>
    <row r="68" spans="1:12" ht="15" customHeight="1" x14ac:dyDescent="0.25">
      <c r="A68" s="379" t="s">
        <v>505</v>
      </c>
      <c r="B68" s="377">
        <v>89136</v>
      </c>
      <c r="C68" s="377">
        <v>7671</v>
      </c>
      <c r="D68" s="377">
        <v>3473</v>
      </c>
      <c r="E68" s="373">
        <f t="shared" si="11"/>
        <v>102.46812815413445</v>
      </c>
      <c r="F68" s="373">
        <f t="shared" si="11"/>
        <v>89.032033426183844</v>
      </c>
      <c r="G68" s="373">
        <f t="shared" si="11"/>
        <v>109.35138539042822</v>
      </c>
      <c r="H68" s="378" t="str">
        <f t="shared" si="14"/>
        <v/>
      </c>
      <c r="I68" s="373" t="str">
        <f t="shared" si="12"/>
        <v/>
      </c>
      <c r="J68" s="373" t="str">
        <f t="shared" si="12"/>
        <v/>
      </c>
      <c r="K68" s="373" t="str">
        <f t="shared" si="12"/>
        <v/>
      </c>
      <c r="L68" s="373" t="e">
        <f t="shared" si="13"/>
        <v>#N/A</v>
      </c>
    </row>
    <row r="69" spans="1:12" ht="15" customHeight="1" x14ac:dyDescent="0.25">
      <c r="A69" s="379">
        <v>45170</v>
      </c>
      <c r="B69" s="377">
        <v>89545</v>
      </c>
      <c r="C69" s="377">
        <v>7611</v>
      </c>
      <c r="D69" s="377">
        <v>3542</v>
      </c>
      <c r="E69" s="373">
        <f t="shared" si="11"/>
        <v>102.93830254399982</v>
      </c>
      <c r="F69" s="373">
        <f t="shared" si="11"/>
        <v>88.335654596100284</v>
      </c>
      <c r="G69" s="373">
        <f t="shared" si="11"/>
        <v>111.52392947103276</v>
      </c>
      <c r="H69" s="378">
        <f t="shared" si="14"/>
        <v>45170</v>
      </c>
      <c r="I69" s="373">
        <f t="shared" si="12"/>
        <v>102.93830254399982</v>
      </c>
      <c r="J69" s="373">
        <f t="shared" si="12"/>
        <v>88.335654596100284</v>
      </c>
      <c r="K69" s="373">
        <f t="shared" si="12"/>
        <v>111.52392947103276</v>
      </c>
      <c r="L69" s="373" t="e">
        <f t="shared" si="13"/>
        <v>#N/A</v>
      </c>
    </row>
    <row r="70" spans="1:12" ht="15" customHeight="1" x14ac:dyDescent="0.25">
      <c r="A70" s="379" t="s">
        <v>506</v>
      </c>
      <c r="B70" s="377">
        <v>88654</v>
      </c>
      <c r="C70" s="377">
        <v>7644</v>
      </c>
      <c r="D70" s="377">
        <v>3517</v>
      </c>
      <c r="E70" s="373">
        <f t="shared" si="11"/>
        <v>101.91403510788722</v>
      </c>
      <c r="F70" s="373">
        <f t="shared" si="11"/>
        <v>88.718662952646241</v>
      </c>
      <c r="G70" s="373">
        <f t="shared" si="11"/>
        <v>110.73677581863979</v>
      </c>
      <c r="H70" s="378" t="str">
        <f t="shared" si="14"/>
        <v/>
      </c>
      <c r="I70" s="373" t="str">
        <f t="shared" si="12"/>
        <v/>
      </c>
      <c r="J70" s="373" t="str">
        <f t="shared" si="12"/>
        <v/>
      </c>
      <c r="K70" s="373" t="str">
        <f t="shared" si="12"/>
        <v/>
      </c>
      <c r="L70" s="373" t="e">
        <f t="shared" si="13"/>
        <v>#N/A</v>
      </c>
    </row>
    <row r="71" spans="1:12" ht="15" customHeight="1" x14ac:dyDescent="0.25">
      <c r="A71" s="379" t="s">
        <v>507</v>
      </c>
      <c r="B71" s="377">
        <v>87819</v>
      </c>
      <c r="C71" s="377">
        <v>7551</v>
      </c>
      <c r="D71" s="377">
        <v>3519</v>
      </c>
      <c r="E71" s="373">
        <f t="shared" si="11"/>
        <v>100.95414362735518</v>
      </c>
      <c r="F71" s="373">
        <f t="shared" si="11"/>
        <v>87.639275766016709</v>
      </c>
      <c r="G71" s="373">
        <f t="shared" si="11"/>
        <v>110.79974811083125</v>
      </c>
      <c r="H71" s="378" t="str">
        <f t="shared" si="14"/>
        <v/>
      </c>
      <c r="I71" s="373" t="str">
        <f t="shared" si="12"/>
        <v/>
      </c>
      <c r="J71" s="373" t="str">
        <f t="shared" si="12"/>
        <v/>
      </c>
      <c r="K71" s="373" t="str">
        <f t="shared" si="12"/>
        <v/>
      </c>
      <c r="L71" s="373" t="e">
        <f t="shared" si="13"/>
        <v>#N/A</v>
      </c>
    </row>
    <row r="72" spans="1:12" ht="15" customHeight="1" x14ac:dyDescent="0.25">
      <c r="A72" s="379" t="s">
        <v>508</v>
      </c>
      <c r="B72" s="377">
        <v>88265</v>
      </c>
      <c r="C72" s="377">
        <v>7760</v>
      </c>
      <c r="D72" s="377">
        <v>3592</v>
      </c>
      <c r="E72" s="380">
        <f t="shared" ref="E72:G76" si="15">IF($A$52=37802,IF(COUNTBLANK(B$52:B$71)&gt;0,#N/A,IF(ISBLANK(B72)=FALSE,B72/B$52*100,#N/A)),IF(COUNTBLANK(B$52:B$76)&gt;0,#N/A,B72/B$52*100))</f>
        <v>101.46685213072917</v>
      </c>
      <c r="F72" s="380">
        <f t="shared" si="15"/>
        <v>90.064995357474459</v>
      </c>
      <c r="G72" s="380">
        <f t="shared" si="15"/>
        <v>113.09823677581865</v>
      </c>
      <c r="H72" s="381" t="str">
        <f>IF(A$52=37802,IF(ISERROR(L72)=TRUE,IF(ISBLANK(A72)=FALSE,IF(MONTH(A72)=MONTH(MAX(A$52:A$76)),A72,""),""),""),IF(ISERROR(L72)=TRUE,IF(MONTH(A72)=MONTH(MAX(A$52:A$76)),A72,""),""))</f>
        <v/>
      </c>
      <c r="I72" s="373" t="str">
        <f t="shared" si="12"/>
        <v/>
      </c>
      <c r="J72" s="373" t="str">
        <f t="shared" si="12"/>
        <v/>
      </c>
      <c r="K72" s="373" t="str">
        <f t="shared" si="12"/>
        <v/>
      </c>
      <c r="L72" s="373" t="e">
        <f t="shared" si="13"/>
        <v>#N/A</v>
      </c>
    </row>
    <row r="73" spans="1:12" ht="15" customHeight="1" x14ac:dyDescent="0.25">
      <c r="A73" s="379">
        <v>45536</v>
      </c>
      <c r="B73" s="377">
        <v>89302</v>
      </c>
      <c r="C73" s="377">
        <v>7668</v>
      </c>
      <c r="D73" s="377">
        <v>3733</v>
      </c>
      <c r="E73" s="380">
        <f t="shared" si="15"/>
        <v>102.65895687960547</v>
      </c>
      <c r="F73" s="380">
        <f t="shared" si="15"/>
        <v>88.99721448467966</v>
      </c>
      <c r="G73" s="380">
        <f t="shared" si="15"/>
        <v>117.53778337531486</v>
      </c>
      <c r="H73" s="381">
        <f>IF(A$52=37802,IF(ISERROR(L73)=TRUE,IF(ISBLANK(A73)=FALSE,IF(MONTH(A73)=MONTH(MAX(A$52:A$76)),A73,""),""),""),IF(ISERROR(L73)=TRUE,IF(MONTH(A73)=MONTH(MAX(A$52:A$76)),A73,""),""))</f>
        <v>45536</v>
      </c>
      <c r="I73" s="373">
        <f t="shared" si="12"/>
        <v>102.65895687960547</v>
      </c>
      <c r="J73" s="373">
        <f t="shared" si="12"/>
        <v>88.99721448467966</v>
      </c>
      <c r="K73" s="373">
        <f t="shared" si="12"/>
        <v>117.53778337531486</v>
      </c>
      <c r="L73" s="373" t="e">
        <f t="shared" si="13"/>
        <v>#N/A</v>
      </c>
    </row>
    <row r="74" spans="1:12" ht="15" customHeight="1" x14ac:dyDescent="0.25">
      <c r="A74" s="379" t="s">
        <v>509</v>
      </c>
      <c r="B74" s="377">
        <v>88337</v>
      </c>
      <c r="C74" s="377">
        <v>7625</v>
      </c>
      <c r="D74" s="377">
        <v>3745</v>
      </c>
      <c r="E74" s="380">
        <f t="shared" si="15"/>
        <v>101.54962121647564</v>
      </c>
      <c r="F74" s="380">
        <f t="shared" si="15"/>
        <v>88.498142989786444</v>
      </c>
      <c r="G74" s="380">
        <f t="shared" si="15"/>
        <v>117.91561712846348</v>
      </c>
      <c r="H74" s="381" t="str">
        <f>IF(A$52=37802,IF(ISERROR(L74)=TRUE,IF(ISBLANK(A74)=FALSE,IF(MONTH(A74)=MONTH(MAX(A$52:A$76)),A74,""),""),""),IF(ISERROR(L74)=TRUE,IF(MONTH(A74)=MONTH(MAX(A$52:A$76)),A74,""),""))</f>
        <v/>
      </c>
      <c r="I74" s="373" t="str">
        <f t="shared" si="12"/>
        <v/>
      </c>
      <c r="J74" s="373" t="str">
        <f t="shared" si="12"/>
        <v/>
      </c>
      <c r="K74" s="373" t="str">
        <f t="shared" si="12"/>
        <v/>
      </c>
      <c r="L74" s="373" t="e">
        <f t="shared" si="13"/>
        <v>#N/A</v>
      </c>
    </row>
    <row r="75" spans="1:12" ht="15" customHeight="1" x14ac:dyDescent="0.25">
      <c r="A75" s="379" t="s">
        <v>510</v>
      </c>
      <c r="B75" s="377">
        <v>87355</v>
      </c>
      <c r="C75" s="377">
        <v>7546</v>
      </c>
      <c r="D75" s="377">
        <v>3655</v>
      </c>
      <c r="E75" s="380">
        <f t="shared" si="15"/>
        <v>100.42074285254456</v>
      </c>
      <c r="F75" s="380">
        <f t="shared" si="15"/>
        <v>87.581244196843073</v>
      </c>
      <c r="G75" s="380">
        <f t="shared" si="15"/>
        <v>115.08186397984888</v>
      </c>
      <c r="H75" s="381" t="str">
        <f>IF(A$52=37802,IF(ISERROR(L75)=TRUE,IF(ISBLANK(A75)=FALSE,IF(MONTH(A75)=MONTH(MAX(A$52:A$76)),A75,""),""),""),IF(ISERROR(L75)=TRUE,IF(MONTH(A75)=MONTH(MAX(A$52:A$76)),A75,""),""))</f>
        <v/>
      </c>
      <c r="I75" s="373" t="str">
        <f t="shared" si="12"/>
        <v/>
      </c>
      <c r="J75" s="373" t="str">
        <f t="shared" si="12"/>
        <v/>
      </c>
      <c r="K75" s="373" t="str">
        <f t="shared" si="12"/>
        <v/>
      </c>
      <c r="L75" s="373" t="e">
        <f t="shared" si="13"/>
        <v>#N/A</v>
      </c>
    </row>
    <row r="76" spans="1:12" ht="15" customHeight="1" x14ac:dyDescent="0.25">
      <c r="A76" s="379" t="s">
        <v>511</v>
      </c>
      <c r="B76" s="377">
        <v>87540</v>
      </c>
      <c r="C76" s="382">
        <v>7885</v>
      </c>
      <c r="D76" s="382">
        <v>3750</v>
      </c>
      <c r="E76" s="380">
        <f t="shared" si="15"/>
        <v>100.63341342008761</v>
      </c>
      <c r="F76" s="380">
        <f t="shared" si="15"/>
        <v>91.515784586815229</v>
      </c>
      <c r="G76" s="380">
        <f t="shared" si="15"/>
        <v>118.07304785894206</v>
      </c>
      <c r="H76" s="381" t="str">
        <f>IF(A$52=37802,IF(ISERROR(L76)=TRUE,IF(ISBLANK(A76)=FALSE,IF(MONTH(A76)=MONTH(MAX(A$52:A$76)),A76,""),""),""),IF(ISERROR(L76)=TRUE,IF(MONTH(A76)=MONTH(MAX(A$52:A$76)),A76,""),""))</f>
        <v/>
      </c>
      <c r="I76" s="373" t="str">
        <f t="shared" si="12"/>
        <v/>
      </c>
      <c r="J76" s="373" t="str">
        <f t="shared" si="12"/>
        <v/>
      </c>
      <c r="K76" s="373" t="str">
        <f t="shared" si="12"/>
        <v/>
      </c>
      <c r="L76" s="373" t="e">
        <f t="shared" si="13"/>
        <v>#N/A</v>
      </c>
    </row>
    <row r="78" spans="1:12" ht="15" customHeight="1" x14ac:dyDescent="0.25">
      <c r="I78" s="373">
        <f>IF(I76&lt;&gt;"",I76,IF(I75&lt;&gt;"",I75,IF(I74&lt;&gt;"",I74,IF(I73&lt;&gt;"",I73,IF(I72&lt;&gt;"",I72,IF(I71&lt;&gt;"",I71,""))))))</f>
        <v>102.65895687960547</v>
      </c>
      <c r="J78" s="373">
        <f>IF(J76&lt;&gt;"",J76,IF(J75&lt;&gt;"",J75,IF(J74&lt;&gt;"",J74,IF(J73&lt;&gt;"",J73,IF(J72&lt;&gt;"",J72,IF(J71&lt;&gt;"",J71,""))))))</f>
        <v>88.99721448467966</v>
      </c>
      <c r="K78" s="373">
        <f>IF(K76&lt;&gt;"",K76,IF(K75&lt;&gt;"",K75,IF(K74&lt;&gt;"",K74,IF(K73&lt;&gt;"",K73,IF(K72&lt;&gt;"",K72,IF(K71&lt;&gt;"",K71,""))))))</f>
        <v>117.53778337531486</v>
      </c>
    </row>
    <row r="79" spans="1:12" ht="15" customHeight="1" x14ac:dyDescent="0.25">
      <c r="I79" s="370">
        <f>RANK(I78,$I78:$K78)</f>
        <v>2</v>
      </c>
      <c r="J79" s="370">
        <f>RANK(J78,$I78:$K78)</f>
        <v>3</v>
      </c>
      <c r="K79" s="370">
        <f>RANK(K78,$I78:$K78)</f>
        <v>1</v>
      </c>
    </row>
    <row r="80" spans="1:12" ht="15" customHeight="1" x14ac:dyDescent="0.25">
      <c r="I80" s="373" t="str">
        <f>"SvB: "&amp;IF(I78&gt;100,"+","")&amp;TEXT(I78-100,"0,0")&amp;"%"</f>
        <v>SvB: +2,7%</v>
      </c>
      <c r="J80" s="373" t="str">
        <f>"GeB - ausschließlich: "&amp;IF(J78&gt;100,"+","")&amp;TEXT(J78-100,"0,0")&amp;"%"</f>
        <v>GeB - ausschließlich: -11,0%</v>
      </c>
      <c r="K80" s="373" t="str">
        <f>"GeB - im Nebenjob: "&amp;IF(K78&gt;100,"+","")&amp;TEXT(K78-100,"0,0")&amp;"%"</f>
        <v>GeB - im Nebenjob: +17,5%</v>
      </c>
    </row>
    <row r="82" spans="9:9" ht="15" customHeight="1" x14ac:dyDescent="0.25">
      <c r="I82" s="373" t="str">
        <f>IF(ISERROR(HLOOKUP(1,I$79:K$80,2,FALSE)),"",HLOOKUP(1,I$79:K$80,2,FALSE))</f>
        <v>GeB - im Nebenjob: +17,5%</v>
      </c>
    </row>
    <row r="83" spans="9:9" ht="15" customHeight="1" x14ac:dyDescent="0.25">
      <c r="I83" s="373" t="str">
        <f>IF(ISERROR(HLOOKUP(2,I$79:K$80,2,FALSE)),"",HLOOKUP(2,I$79:K$80,2,FALSE))</f>
        <v>SvB: +2,7%</v>
      </c>
    </row>
    <row r="84" spans="9:9" ht="15" customHeight="1" x14ac:dyDescent="0.25">
      <c r="I84" s="373" t="str">
        <f>IF(ISERROR(HLOOKUP(3,I$79:K$80,2,FALSE)),"",HLOOKUP(3,I$79:K$80,2,FALSE))</f>
        <v>GeB - ausschließlich: -11,0%</v>
      </c>
    </row>
  </sheetData>
  <mergeCells count="16">
    <mergeCell ref="B4:C4"/>
    <mergeCell ref="D4:E4"/>
    <mergeCell ref="F4:G4"/>
    <mergeCell ref="H4:I4"/>
    <mergeCell ref="J4:N4"/>
    <mergeCell ref="J12:N12"/>
    <mergeCell ref="A50:A51"/>
    <mergeCell ref="B50:D50"/>
    <mergeCell ref="E50:G50"/>
    <mergeCell ref="H50:H51"/>
    <mergeCell ref="I50:K50"/>
    <mergeCell ref="A12:A13"/>
    <mergeCell ref="B12:C12"/>
    <mergeCell ref="D12:E12"/>
    <mergeCell ref="F12:G12"/>
    <mergeCell ref="H12:I12"/>
  </mergeCells>
  <pageMargins left="0.78740157499999996" right="0.78740157499999996" top="0.984251969" bottom="0.984251969" header="0.4921259845" footer="0.4921259845"/>
  <pageSetup paperSize="9" scale="45" orientation="landscape" r:id="rId1"/>
  <headerFooter alignWithMargins="0"/>
  <rowBreaks count="1" manualBreakCount="1">
    <brk id="47" max="1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84A2D-B14F-4760-9138-DA4137976090}">
  <sheetPr codeName="Tabelle27"/>
  <dimension ref="A1:K63"/>
  <sheetViews>
    <sheetView showGridLines="0" zoomScaleNormal="100" zoomScaleSheetLayoutView="100" workbookViewId="0">
      <selection sqref="A1:G1"/>
    </sheetView>
  </sheetViews>
  <sheetFormatPr defaultColWidth="10.90625" defaultRowHeight="16.5" customHeight="1" x14ac:dyDescent="0.25"/>
  <cols>
    <col min="1" max="1" width="2.7265625" style="411" customWidth="1"/>
    <col min="2" max="2" width="17.26953125" style="411" customWidth="1"/>
    <col min="3" max="3" width="23.26953125" style="411" customWidth="1"/>
    <col min="4" max="5" width="11.453125" style="411" customWidth="1"/>
    <col min="6" max="8" width="11.453125" style="411"/>
    <col min="9" max="9" width="15.7265625" style="411" customWidth="1"/>
    <col min="10" max="256" width="11.453125" style="411"/>
    <col min="257" max="257" width="2.7265625" style="411" customWidth="1"/>
    <col min="258" max="258" width="17.26953125" style="411" customWidth="1"/>
    <col min="259" max="259" width="23.26953125" style="411" customWidth="1"/>
    <col min="260" max="261" width="11.453125" style="411" customWidth="1"/>
    <col min="262" max="264" width="11.453125" style="411"/>
    <col min="265" max="265" width="15.7265625" style="411" customWidth="1"/>
    <col min="266" max="512" width="11.453125" style="411"/>
    <col min="513" max="513" width="2.7265625" style="411" customWidth="1"/>
    <col min="514" max="514" width="17.26953125" style="411" customWidth="1"/>
    <col min="515" max="515" width="23.26953125" style="411" customWidth="1"/>
    <col min="516" max="517" width="11.453125" style="411" customWidth="1"/>
    <col min="518" max="520" width="11.453125" style="411"/>
    <col min="521" max="521" width="15.7265625" style="411" customWidth="1"/>
    <col min="522" max="768" width="11.453125" style="411"/>
    <col min="769" max="769" width="2.7265625" style="411" customWidth="1"/>
    <col min="770" max="770" width="17.26953125" style="411" customWidth="1"/>
    <col min="771" max="771" width="23.26953125" style="411" customWidth="1"/>
    <col min="772" max="773" width="11.453125" style="411" customWidth="1"/>
    <col min="774" max="776" width="11.453125" style="411"/>
    <col min="777" max="777" width="15.7265625" style="411" customWidth="1"/>
    <col min="778" max="1024" width="11.453125" style="411"/>
    <col min="1025" max="1025" width="2.7265625" style="411" customWidth="1"/>
    <col min="1026" max="1026" width="17.26953125" style="411" customWidth="1"/>
    <col min="1027" max="1027" width="23.26953125" style="411" customWidth="1"/>
    <col min="1028" max="1029" width="11.453125" style="411" customWidth="1"/>
    <col min="1030" max="1032" width="11.453125" style="411"/>
    <col min="1033" max="1033" width="15.7265625" style="411" customWidth="1"/>
    <col min="1034" max="1280" width="11.453125" style="411"/>
    <col min="1281" max="1281" width="2.7265625" style="411" customWidth="1"/>
    <col min="1282" max="1282" width="17.26953125" style="411" customWidth="1"/>
    <col min="1283" max="1283" width="23.26953125" style="411" customWidth="1"/>
    <col min="1284" max="1285" width="11.453125" style="411" customWidth="1"/>
    <col min="1286" max="1288" width="11.453125" style="411"/>
    <col min="1289" max="1289" width="15.7265625" style="411" customWidth="1"/>
    <col min="1290" max="1536" width="11.453125" style="411"/>
    <col min="1537" max="1537" width="2.7265625" style="411" customWidth="1"/>
    <col min="1538" max="1538" width="17.26953125" style="411" customWidth="1"/>
    <col min="1539" max="1539" width="23.26953125" style="411" customWidth="1"/>
    <col min="1540" max="1541" width="11.453125" style="411" customWidth="1"/>
    <col min="1542" max="1544" width="11.453125" style="411"/>
    <col min="1545" max="1545" width="15.7265625" style="411" customWidth="1"/>
    <col min="1546" max="1792" width="11.453125" style="411"/>
    <col min="1793" max="1793" width="2.7265625" style="411" customWidth="1"/>
    <col min="1794" max="1794" width="17.26953125" style="411" customWidth="1"/>
    <col min="1795" max="1795" width="23.26953125" style="411" customWidth="1"/>
    <col min="1796" max="1797" width="11.453125" style="411" customWidth="1"/>
    <col min="1798" max="1800" width="11.453125" style="411"/>
    <col min="1801" max="1801" width="15.7265625" style="411" customWidth="1"/>
    <col min="1802" max="2048" width="11.453125" style="411"/>
    <col min="2049" max="2049" width="2.7265625" style="411" customWidth="1"/>
    <col min="2050" max="2050" width="17.26953125" style="411" customWidth="1"/>
    <col min="2051" max="2051" width="23.26953125" style="411" customWidth="1"/>
    <col min="2052" max="2053" width="11.453125" style="411" customWidth="1"/>
    <col min="2054" max="2056" width="11.453125" style="411"/>
    <col min="2057" max="2057" width="15.7265625" style="411" customWidth="1"/>
    <col min="2058" max="2304" width="11.453125" style="411"/>
    <col min="2305" max="2305" width="2.7265625" style="411" customWidth="1"/>
    <col min="2306" max="2306" width="17.26953125" style="411" customWidth="1"/>
    <col min="2307" max="2307" width="23.26953125" style="411" customWidth="1"/>
    <col min="2308" max="2309" width="11.453125" style="411" customWidth="1"/>
    <col min="2310" max="2312" width="11.453125" style="411"/>
    <col min="2313" max="2313" width="15.7265625" style="411" customWidth="1"/>
    <col min="2314" max="2560" width="11.453125" style="411"/>
    <col min="2561" max="2561" width="2.7265625" style="411" customWidth="1"/>
    <col min="2562" max="2562" width="17.26953125" style="411" customWidth="1"/>
    <col min="2563" max="2563" width="23.26953125" style="411" customWidth="1"/>
    <col min="2564" max="2565" width="11.453125" style="411" customWidth="1"/>
    <col min="2566" max="2568" width="11.453125" style="411"/>
    <col min="2569" max="2569" width="15.7265625" style="411" customWidth="1"/>
    <col min="2570" max="2816" width="11.453125" style="411"/>
    <col min="2817" max="2817" width="2.7265625" style="411" customWidth="1"/>
    <col min="2818" max="2818" width="17.26953125" style="411" customWidth="1"/>
    <col min="2819" max="2819" width="23.26953125" style="411" customWidth="1"/>
    <col min="2820" max="2821" width="11.453125" style="411" customWidth="1"/>
    <col min="2822" max="2824" width="11.453125" style="411"/>
    <col min="2825" max="2825" width="15.7265625" style="411" customWidth="1"/>
    <col min="2826" max="3072" width="11.453125" style="411"/>
    <col min="3073" max="3073" width="2.7265625" style="411" customWidth="1"/>
    <col min="3074" max="3074" width="17.26953125" style="411" customWidth="1"/>
    <col min="3075" max="3075" width="23.26953125" style="411" customWidth="1"/>
    <col min="3076" max="3077" width="11.453125" style="411" customWidth="1"/>
    <col min="3078" max="3080" width="11.453125" style="411"/>
    <col min="3081" max="3081" width="15.7265625" style="411" customWidth="1"/>
    <col min="3082" max="3328" width="11.453125" style="411"/>
    <col min="3329" max="3329" width="2.7265625" style="411" customWidth="1"/>
    <col min="3330" max="3330" width="17.26953125" style="411" customWidth="1"/>
    <col min="3331" max="3331" width="23.26953125" style="411" customWidth="1"/>
    <col min="3332" max="3333" width="11.453125" style="411" customWidth="1"/>
    <col min="3334" max="3336" width="11.453125" style="411"/>
    <col min="3337" max="3337" width="15.7265625" style="411" customWidth="1"/>
    <col min="3338" max="3584" width="11.453125" style="411"/>
    <col min="3585" max="3585" width="2.7265625" style="411" customWidth="1"/>
    <col min="3586" max="3586" width="17.26953125" style="411" customWidth="1"/>
    <col min="3587" max="3587" width="23.26953125" style="411" customWidth="1"/>
    <col min="3588" max="3589" width="11.453125" style="411" customWidth="1"/>
    <col min="3590" max="3592" width="11.453125" style="411"/>
    <col min="3593" max="3593" width="15.7265625" style="411" customWidth="1"/>
    <col min="3594" max="3840" width="11.453125" style="411"/>
    <col min="3841" max="3841" width="2.7265625" style="411" customWidth="1"/>
    <col min="3842" max="3842" width="17.26953125" style="411" customWidth="1"/>
    <col min="3843" max="3843" width="23.26953125" style="411" customWidth="1"/>
    <col min="3844" max="3845" width="11.453125" style="411" customWidth="1"/>
    <col min="3846" max="3848" width="11.453125" style="411"/>
    <col min="3849" max="3849" width="15.7265625" style="411" customWidth="1"/>
    <col min="3850" max="4096" width="11.453125" style="411"/>
    <col min="4097" max="4097" width="2.7265625" style="411" customWidth="1"/>
    <col min="4098" max="4098" width="17.26953125" style="411" customWidth="1"/>
    <col min="4099" max="4099" width="23.26953125" style="411" customWidth="1"/>
    <col min="4100" max="4101" width="11.453125" style="411" customWidth="1"/>
    <col min="4102" max="4104" width="11.453125" style="411"/>
    <col min="4105" max="4105" width="15.7265625" style="411" customWidth="1"/>
    <col min="4106" max="4352" width="11.453125" style="411"/>
    <col min="4353" max="4353" width="2.7265625" style="411" customWidth="1"/>
    <col min="4354" max="4354" width="17.26953125" style="411" customWidth="1"/>
    <col min="4355" max="4355" width="23.26953125" style="411" customWidth="1"/>
    <col min="4356" max="4357" width="11.453125" style="411" customWidth="1"/>
    <col min="4358" max="4360" width="11.453125" style="411"/>
    <col min="4361" max="4361" width="15.7265625" style="411" customWidth="1"/>
    <col min="4362" max="4608" width="11.453125" style="411"/>
    <col min="4609" max="4609" width="2.7265625" style="411" customWidth="1"/>
    <col min="4610" max="4610" width="17.26953125" style="411" customWidth="1"/>
    <col min="4611" max="4611" width="23.26953125" style="411" customWidth="1"/>
    <col min="4612" max="4613" width="11.453125" style="411" customWidth="1"/>
    <col min="4614" max="4616" width="11.453125" style="411"/>
    <col min="4617" max="4617" width="15.7265625" style="411" customWidth="1"/>
    <col min="4618" max="4864" width="11.453125" style="411"/>
    <col min="4865" max="4865" width="2.7265625" style="411" customWidth="1"/>
    <col min="4866" max="4866" width="17.26953125" style="411" customWidth="1"/>
    <col min="4867" max="4867" width="23.26953125" style="411" customWidth="1"/>
    <col min="4868" max="4869" width="11.453125" style="411" customWidth="1"/>
    <col min="4870" max="4872" width="11.453125" style="411"/>
    <col min="4873" max="4873" width="15.7265625" style="411" customWidth="1"/>
    <col min="4874" max="5120" width="11.453125" style="411"/>
    <col min="5121" max="5121" width="2.7265625" style="411" customWidth="1"/>
    <col min="5122" max="5122" width="17.26953125" style="411" customWidth="1"/>
    <col min="5123" max="5123" width="23.26953125" style="411" customWidth="1"/>
    <col min="5124" max="5125" width="11.453125" style="411" customWidth="1"/>
    <col min="5126" max="5128" width="11.453125" style="411"/>
    <col min="5129" max="5129" width="15.7265625" style="411" customWidth="1"/>
    <col min="5130" max="5376" width="11.453125" style="411"/>
    <col min="5377" max="5377" width="2.7265625" style="411" customWidth="1"/>
    <col min="5378" max="5378" width="17.26953125" style="411" customWidth="1"/>
    <col min="5379" max="5379" width="23.26953125" style="411" customWidth="1"/>
    <col min="5380" max="5381" width="11.453125" style="411" customWidth="1"/>
    <col min="5382" max="5384" width="11.453125" style="411"/>
    <col min="5385" max="5385" width="15.7265625" style="411" customWidth="1"/>
    <col min="5386" max="5632" width="11.453125" style="411"/>
    <col min="5633" max="5633" width="2.7265625" style="411" customWidth="1"/>
    <col min="5634" max="5634" width="17.26953125" style="411" customWidth="1"/>
    <col min="5635" max="5635" width="23.26953125" style="411" customWidth="1"/>
    <col min="5636" max="5637" width="11.453125" style="411" customWidth="1"/>
    <col min="5638" max="5640" width="11.453125" style="411"/>
    <col min="5641" max="5641" width="15.7265625" style="411" customWidth="1"/>
    <col min="5642" max="5888" width="11.453125" style="411"/>
    <col min="5889" max="5889" width="2.7265625" style="411" customWidth="1"/>
    <col min="5890" max="5890" width="17.26953125" style="411" customWidth="1"/>
    <col min="5891" max="5891" width="23.26953125" style="411" customWidth="1"/>
    <col min="5892" max="5893" width="11.453125" style="411" customWidth="1"/>
    <col min="5894" max="5896" width="11.453125" style="411"/>
    <col min="5897" max="5897" width="15.7265625" style="411" customWidth="1"/>
    <col min="5898" max="6144" width="11.453125" style="411"/>
    <col min="6145" max="6145" width="2.7265625" style="411" customWidth="1"/>
    <col min="6146" max="6146" width="17.26953125" style="411" customWidth="1"/>
    <col min="6147" max="6147" width="23.26953125" style="411" customWidth="1"/>
    <col min="6148" max="6149" width="11.453125" style="411" customWidth="1"/>
    <col min="6150" max="6152" width="11.453125" style="411"/>
    <col min="6153" max="6153" width="15.7265625" style="411" customWidth="1"/>
    <col min="6154" max="6400" width="11.453125" style="411"/>
    <col min="6401" max="6401" width="2.7265625" style="411" customWidth="1"/>
    <col min="6402" max="6402" width="17.26953125" style="411" customWidth="1"/>
    <col min="6403" max="6403" width="23.26953125" style="411" customWidth="1"/>
    <col min="6404" max="6405" width="11.453125" style="411" customWidth="1"/>
    <col min="6406" max="6408" width="11.453125" style="411"/>
    <col min="6409" max="6409" width="15.7265625" style="411" customWidth="1"/>
    <col min="6410" max="6656" width="11.453125" style="411"/>
    <col min="6657" max="6657" width="2.7265625" style="411" customWidth="1"/>
    <col min="6658" max="6658" width="17.26953125" style="411" customWidth="1"/>
    <col min="6659" max="6659" width="23.26953125" style="411" customWidth="1"/>
    <col min="6660" max="6661" width="11.453125" style="411" customWidth="1"/>
    <col min="6662" max="6664" width="11.453125" style="411"/>
    <col min="6665" max="6665" width="15.7265625" style="411" customWidth="1"/>
    <col min="6666" max="6912" width="11.453125" style="411"/>
    <col min="6913" max="6913" width="2.7265625" style="411" customWidth="1"/>
    <col min="6914" max="6914" width="17.26953125" style="411" customWidth="1"/>
    <col min="6915" max="6915" width="23.26953125" style="411" customWidth="1"/>
    <col min="6916" max="6917" width="11.453125" style="411" customWidth="1"/>
    <col min="6918" max="6920" width="11.453125" style="411"/>
    <col min="6921" max="6921" width="15.7265625" style="411" customWidth="1"/>
    <col min="6922" max="7168" width="11.453125" style="411"/>
    <col min="7169" max="7169" width="2.7265625" style="411" customWidth="1"/>
    <col min="7170" max="7170" width="17.26953125" style="411" customWidth="1"/>
    <col min="7171" max="7171" width="23.26953125" style="411" customWidth="1"/>
    <col min="7172" max="7173" width="11.453125" style="411" customWidth="1"/>
    <col min="7174" max="7176" width="11.453125" style="411"/>
    <col min="7177" max="7177" width="15.7265625" style="411" customWidth="1"/>
    <col min="7178" max="7424" width="11.453125" style="411"/>
    <col min="7425" max="7425" width="2.7265625" style="411" customWidth="1"/>
    <col min="7426" max="7426" width="17.26953125" style="411" customWidth="1"/>
    <col min="7427" max="7427" width="23.26953125" style="411" customWidth="1"/>
    <col min="7428" max="7429" width="11.453125" style="411" customWidth="1"/>
    <col min="7430" max="7432" width="11.453125" style="411"/>
    <col min="7433" max="7433" width="15.7265625" style="411" customWidth="1"/>
    <col min="7434" max="7680" width="11.453125" style="411"/>
    <col min="7681" max="7681" width="2.7265625" style="411" customWidth="1"/>
    <col min="7682" max="7682" width="17.26953125" style="411" customWidth="1"/>
    <col min="7683" max="7683" width="23.26953125" style="411" customWidth="1"/>
    <col min="7684" max="7685" width="11.453125" style="411" customWidth="1"/>
    <col min="7686" max="7688" width="11.453125" style="411"/>
    <col min="7689" max="7689" width="15.7265625" style="411" customWidth="1"/>
    <col min="7690" max="7936" width="11.453125" style="411"/>
    <col min="7937" max="7937" width="2.7265625" style="411" customWidth="1"/>
    <col min="7938" max="7938" width="17.26953125" style="411" customWidth="1"/>
    <col min="7939" max="7939" width="23.26953125" style="411" customWidth="1"/>
    <col min="7940" max="7941" width="11.453125" style="411" customWidth="1"/>
    <col min="7942" max="7944" width="11.453125" style="411"/>
    <col min="7945" max="7945" width="15.7265625" style="411" customWidth="1"/>
    <col min="7946" max="8192" width="11.453125" style="411"/>
    <col min="8193" max="8193" width="2.7265625" style="411" customWidth="1"/>
    <col min="8194" max="8194" width="17.26953125" style="411" customWidth="1"/>
    <col min="8195" max="8195" width="23.26953125" style="411" customWidth="1"/>
    <col min="8196" max="8197" width="11.453125" style="411" customWidth="1"/>
    <col min="8198" max="8200" width="11.453125" style="411"/>
    <col min="8201" max="8201" width="15.7265625" style="411" customWidth="1"/>
    <col min="8202" max="8448" width="11.453125" style="411"/>
    <col min="8449" max="8449" width="2.7265625" style="411" customWidth="1"/>
    <col min="8450" max="8450" width="17.26953125" style="411" customWidth="1"/>
    <col min="8451" max="8451" width="23.26953125" style="411" customWidth="1"/>
    <col min="8452" max="8453" width="11.453125" style="411" customWidth="1"/>
    <col min="8454" max="8456" width="11.453125" style="411"/>
    <col min="8457" max="8457" width="15.7265625" style="411" customWidth="1"/>
    <col min="8458" max="8704" width="11.453125" style="411"/>
    <col min="8705" max="8705" width="2.7265625" style="411" customWidth="1"/>
    <col min="8706" max="8706" width="17.26953125" style="411" customWidth="1"/>
    <col min="8707" max="8707" width="23.26953125" style="411" customWidth="1"/>
    <col min="8708" max="8709" width="11.453125" style="411" customWidth="1"/>
    <col min="8710" max="8712" width="11.453125" style="411"/>
    <col min="8713" max="8713" width="15.7265625" style="411" customWidth="1"/>
    <col min="8714" max="8960" width="11.453125" style="411"/>
    <col min="8961" max="8961" width="2.7265625" style="411" customWidth="1"/>
    <col min="8962" max="8962" width="17.26953125" style="411" customWidth="1"/>
    <col min="8963" max="8963" width="23.26953125" style="411" customWidth="1"/>
    <col min="8964" max="8965" width="11.453125" style="411" customWidth="1"/>
    <col min="8966" max="8968" width="11.453125" style="411"/>
    <col min="8969" max="8969" width="15.7265625" style="411" customWidth="1"/>
    <col min="8970" max="9216" width="11.453125" style="411"/>
    <col min="9217" max="9217" width="2.7265625" style="411" customWidth="1"/>
    <col min="9218" max="9218" width="17.26953125" style="411" customWidth="1"/>
    <col min="9219" max="9219" width="23.26953125" style="411" customWidth="1"/>
    <col min="9220" max="9221" width="11.453125" style="411" customWidth="1"/>
    <col min="9222" max="9224" width="11.453125" style="411"/>
    <col min="9225" max="9225" width="15.7265625" style="411" customWidth="1"/>
    <col min="9226" max="9472" width="11.453125" style="411"/>
    <col min="9473" max="9473" width="2.7265625" style="411" customWidth="1"/>
    <col min="9474" max="9474" width="17.26953125" style="411" customWidth="1"/>
    <col min="9475" max="9475" width="23.26953125" style="411" customWidth="1"/>
    <col min="9476" max="9477" width="11.453125" style="411" customWidth="1"/>
    <col min="9478" max="9480" width="11.453125" style="411"/>
    <col min="9481" max="9481" width="15.7265625" style="411" customWidth="1"/>
    <col min="9482" max="9728" width="11.453125" style="411"/>
    <col min="9729" max="9729" width="2.7265625" style="411" customWidth="1"/>
    <col min="9730" max="9730" width="17.26953125" style="411" customWidth="1"/>
    <col min="9731" max="9731" width="23.26953125" style="411" customWidth="1"/>
    <col min="9732" max="9733" width="11.453125" style="411" customWidth="1"/>
    <col min="9734" max="9736" width="11.453125" style="411"/>
    <col min="9737" max="9737" width="15.7265625" style="411" customWidth="1"/>
    <col min="9738" max="9984" width="11.453125" style="411"/>
    <col min="9985" max="9985" width="2.7265625" style="411" customWidth="1"/>
    <col min="9986" max="9986" width="17.26953125" style="411" customWidth="1"/>
    <col min="9987" max="9987" width="23.26953125" style="411" customWidth="1"/>
    <col min="9988" max="9989" width="11.453125" style="411" customWidth="1"/>
    <col min="9990" max="9992" width="11.453125" style="411"/>
    <col min="9993" max="9993" width="15.7265625" style="411" customWidth="1"/>
    <col min="9994" max="10240" width="11.453125" style="411"/>
    <col min="10241" max="10241" width="2.7265625" style="411" customWidth="1"/>
    <col min="10242" max="10242" width="17.26953125" style="411" customWidth="1"/>
    <col min="10243" max="10243" width="23.26953125" style="411" customWidth="1"/>
    <col min="10244" max="10245" width="11.453125" style="411" customWidth="1"/>
    <col min="10246" max="10248" width="11.453125" style="411"/>
    <col min="10249" max="10249" width="15.7265625" style="411" customWidth="1"/>
    <col min="10250" max="10496" width="11.453125" style="411"/>
    <col min="10497" max="10497" width="2.7265625" style="411" customWidth="1"/>
    <col min="10498" max="10498" width="17.26953125" style="411" customWidth="1"/>
    <col min="10499" max="10499" width="23.26953125" style="411" customWidth="1"/>
    <col min="10500" max="10501" width="11.453125" style="411" customWidth="1"/>
    <col min="10502" max="10504" width="11.453125" style="411"/>
    <col min="10505" max="10505" width="15.7265625" style="411" customWidth="1"/>
    <col min="10506" max="10752" width="11.453125" style="411"/>
    <col min="10753" max="10753" width="2.7265625" style="411" customWidth="1"/>
    <col min="10754" max="10754" width="17.26953125" style="411" customWidth="1"/>
    <col min="10755" max="10755" width="23.26953125" style="411" customWidth="1"/>
    <col min="10756" max="10757" width="11.453125" style="411" customWidth="1"/>
    <col min="10758" max="10760" width="11.453125" style="411"/>
    <col min="10761" max="10761" width="15.7265625" style="411" customWidth="1"/>
    <col min="10762" max="11008" width="11.453125" style="411"/>
    <col min="11009" max="11009" width="2.7265625" style="411" customWidth="1"/>
    <col min="11010" max="11010" width="17.26953125" style="411" customWidth="1"/>
    <col min="11011" max="11011" width="23.26953125" style="411" customWidth="1"/>
    <col min="11012" max="11013" width="11.453125" style="411" customWidth="1"/>
    <col min="11014" max="11016" width="11.453125" style="411"/>
    <col min="11017" max="11017" width="15.7265625" style="411" customWidth="1"/>
    <col min="11018" max="11264" width="11.453125" style="411"/>
    <col min="11265" max="11265" width="2.7265625" style="411" customWidth="1"/>
    <col min="11266" max="11266" width="17.26953125" style="411" customWidth="1"/>
    <col min="11267" max="11267" width="23.26953125" style="411" customWidth="1"/>
    <col min="11268" max="11269" width="11.453125" style="411" customWidth="1"/>
    <col min="11270" max="11272" width="11.453125" style="411"/>
    <col min="11273" max="11273" width="15.7265625" style="411" customWidth="1"/>
    <col min="11274" max="11520" width="11.453125" style="411"/>
    <col min="11521" max="11521" width="2.7265625" style="411" customWidth="1"/>
    <col min="11522" max="11522" width="17.26953125" style="411" customWidth="1"/>
    <col min="11523" max="11523" width="23.26953125" style="411" customWidth="1"/>
    <col min="11524" max="11525" width="11.453125" style="411" customWidth="1"/>
    <col min="11526" max="11528" width="11.453125" style="411"/>
    <col min="11529" max="11529" width="15.7265625" style="411" customWidth="1"/>
    <col min="11530" max="11776" width="11.453125" style="411"/>
    <col min="11777" max="11777" width="2.7265625" style="411" customWidth="1"/>
    <col min="11778" max="11778" width="17.26953125" style="411" customWidth="1"/>
    <col min="11779" max="11779" width="23.26953125" style="411" customWidth="1"/>
    <col min="11780" max="11781" width="11.453125" style="411" customWidth="1"/>
    <col min="11782" max="11784" width="11.453125" style="411"/>
    <col min="11785" max="11785" width="15.7265625" style="411" customWidth="1"/>
    <col min="11786" max="12032" width="11.453125" style="411"/>
    <col min="12033" max="12033" width="2.7265625" style="411" customWidth="1"/>
    <col min="12034" max="12034" width="17.26953125" style="411" customWidth="1"/>
    <col min="12035" max="12035" width="23.26953125" style="411" customWidth="1"/>
    <col min="12036" max="12037" width="11.453125" style="411" customWidth="1"/>
    <col min="12038" max="12040" width="11.453125" style="411"/>
    <col min="12041" max="12041" width="15.7265625" style="411" customWidth="1"/>
    <col min="12042" max="12288" width="11.453125" style="411"/>
    <col min="12289" max="12289" width="2.7265625" style="411" customWidth="1"/>
    <col min="12290" max="12290" width="17.26953125" style="411" customWidth="1"/>
    <col min="12291" max="12291" width="23.26953125" style="411" customWidth="1"/>
    <col min="12292" max="12293" width="11.453125" style="411" customWidth="1"/>
    <col min="12294" max="12296" width="11.453125" style="411"/>
    <col min="12297" max="12297" width="15.7265625" style="411" customWidth="1"/>
    <col min="12298" max="12544" width="11.453125" style="411"/>
    <col min="12545" max="12545" width="2.7265625" style="411" customWidth="1"/>
    <col min="12546" max="12546" width="17.26953125" style="411" customWidth="1"/>
    <col min="12547" max="12547" width="23.26953125" style="411" customWidth="1"/>
    <col min="12548" max="12549" width="11.453125" style="411" customWidth="1"/>
    <col min="12550" max="12552" width="11.453125" style="411"/>
    <col min="12553" max="12553" width="15.7265625" style="411" customWidth="1"/>
    <col min="12554" max="12800" width="11.453125" style="411"/>
    <col min="12801" max="12801" width="2.7265625" style="411" customWidth="1"/>
    <col min="12802" max="12802" width="17.26953125" style="411" customWidth="1"/>
    <col min="12803" max="12803" width="23.26953125" style="411" customWidth="1"/>
    <col min="12804" max="12805" width="11.453125" style="411" customWidth="1"/>
    <col min="12806" max="12808" width="11.453125" style="411"/>
    <col min="12809" max="12809" width="15.7265625" style="411" customWidth="1"/>
    <col min="12810" max="13056" width="11.453125" style="411"/>
    <col min="13057" max="13057" width="2.7265625" style="411" customWidth="1"/>
    <col min="13058" max="13058" width="17.26953125" style="411" customWidth="1"/>
    <col min="13059" max="13059" width="23.26953125" style="411" customWidth="1"/>
    <col min="13060" max="13061" width="11.453125" style="411" customWidth="1"/>
    <col min="13062" max="13064" width="11.453125" style="411"/>
    <col min="13065" max="13065" width="15.7265625" style="411" customWidth="1"/>
    <col min="13066" max="13312" width="11.453125" style="411"/>
    <col min="13313" max="13313" width="2.7265625" style="411" customWidth="1"/>
    <col min="13314" max="13314" width="17.26953125" style="411" customWidth="1"/>
    <col min="13315" max="13315" width="23.26953125" style="411" customWidth="1"/>
    <col min="13316" max="13317" width="11.453125" style="411" customWidth="1"/>
    <col min="13318" max="13320" width="11.453125" style="411"/>
    <col min="13321" max="13321" width="15.7265625" style="411" customWidth="1"/>
    <col min="13322" max="13568" width="11.453125" style="411"/>
    <col min="13569" max="13569" width="2.7265625" style="411" customWidth="1"/>
    <col min="13570" max="13570" width="17.26953125" style="411" customWidth="1"/>
    <col min="13571" max="13571" width="23.26953125" style="411" customWidth="1"/>
    <col min="13572" max="13573" width="11.453125" style="411" customWidth="1"/>
    <col min="13574" max="13576" width="11.453125" style="411"/>
    <col min="13577" max="13577" width="15.7265625" style="411" customWidth="1"/>
    <col min="13578" max="13824" width="11.453125" style="411"/>
    <col min="13825" max="13825" width="2.7265625" style="411" customWidth="1"/>
    <col min="13826" max="13826" width="17.26953125" style="411" customWidth="1"/>
    <col min="13827" max="13827" width="23.26953125" style="411" customWidth="1"/>
    <col min="13828" max="13829" width="11.453125" style="411" customWidth="1"/>
    <col min="13830" max="13832" width="11.453125" style="411"/>
    <col min="13833" max="13833" width="15.7265625" style="411" customWidth="1"/>
    <col min="13834" max="14080" width="11.453125" style="411"/>
    <col min="14081" max="14081" width="2.7265625" style="411" customWidth="1"/>
    <col min="14082" max="14082" width="17.26953125" style="411" customWidth="1"/>
    <col min="14083" max="14083" width="23.26953125" style="411" customWidth="1"/>
    <col min="14084" max="14085" width="11.453125" style="411" customWidth="1"/>
    <col min="14086" max="14088" width="11.453125" style="411"/>
    <col min="14089" max="14089" width="15.7265625" style="411" customWidth="1"/>
    <col min="14090" max="14336" width="11.453125" style="411"/>
    <col min="14337" max="14337" width="2.7265625" style="411" customWidth="1"/>
    <col min="14338" max="14338" width="17.26953125" style="411" customWidth="1"/>
    <col min="14339" max="14339" width="23.26953125" style="411" customWidth="1"/>
    <col min="14340" max="14341" width="11.453125" style="411" customWidth="1"/>
    <col min="14342" max="14344" width="11.453125" style="411"/>
    <col min="14345" max="14345" width="15.7265625" style="411" customWidth="1"/>
    <col min="14346" max="14592" width="11.453125" style="411"/>
    <col min="14593" max="14593" width="2.7265625" style="411" customWidth="1"/>
    <col min="14594" max="14594" width="17.26953125" style="411" customWidth="1"/>
    <col min="14595" max="14595" width="23.26953125" style="411" customWidth="1"/>
    <col min="14596" max="14597" width="11.453125" style="411" customWidth="1"/>
    <col min="14598" max="14600" width="11.453125" style="411"/>
    <col min="14601" max="14601" width="15.7265625" style="411" customWidth="1"/>
    <col min="14602" max="14848" width="11.453125" style="411"/>
    <col min="14849" max="14849" width="2.7265625" style="411" customWidth="1"/>
    <col min="14850" max="14850" width="17.26953125" style="411" customWidth="1"/>
    <col min="14851" max="14851" width="23.26953125" style="411" customWidth="1"/>
    <col min="14852" max="14853" width="11.453125" style="411" customWidth="1"/>
    <col min="14854" max="14856" width="11.453125" style="411"/>
    <col min="14857" max="14857" width="15.7265625" style="411" customWidth="1"/>
    <col min="14858" max="15104" width="11.453125" style="411"/>
    <col min="15105" max="15105" width="2.7265625" style="411" customWidth="1"/>
    <col min="15106" max="15106" width="17.26953125" style="411" customWidth="1"/>
    <col min="15107" max="15107" width="23.26953125" style="411" customWidth="1"/>
    <col min="15108" max="15109" width="11.453125" style="411" customWidth="1"/>
    <col min="15110" max="15112" width="11.453125" style="411"/>
    <col min="15113" max="15113" width="15.7265625" style="411" customWidth="1"/>
    <col min="15114" max="15360" width="11.453125" style="411"/>
    <col min="15361" max="15361" width="2.7265625" style="411" customWidth="1"/>
    <col min="15362" max="15362" width="17.26953125" style="411" customWidth="1"/>
    <col min="15363" max="15363" width="23.26953125" style="411" customWidth="1"/>
    <col min="15364" max="15365" width="11.453125" style="411" customWidth="1"/>
    <col min="15366" max="15368" width="11.453125" style="411"/>
    <col min="15369" max="15369" width="15.7265625" style="411" customWidth="1"/>
    <col min="15370" max="15616" width="11.453125" style="411"/>
    <col min="15617" max="15617" width="2.7265625" style="411" customWidth="1"/>
    <col min="15618" max="15618" width="17.26953125" style="411" customWidth="1"/>
    <col min="15619" max="15619" width="23.26953125" style="411" customWidth="1"/>
    <col min="15620" max="15621" width="11.453125" style="411" customWidth="1"/>
    <col min="15622" max="15624" width="11.453125" style="411"/>
    <col min="15625" max="15625" width="15.7265625" style="411" customWidth="1"/>
    <col min="15626" max="15872" width="11.453125" style="411"/>
    <col min="15873" max="15873" width="2.7265625" style="411" customWidth="1"/>
    <col min="15874" max="15874" width="17.26953125" style="411" customWidth="1"/>
    <col min="15875" max="15875" width="23.26953125" style="411" customWidth="1"/>
    <col min="15876" max="15877" width="11.453125" style="411" customWidth="1"/>
    <col min="15878" max="15880" width="11.453125" style="411"/>
    <col min="15881" max="15881" width="15.7265625" style="411" customWidth="1"/>
    <col min="15882" max="16128" width="11.453125" style="411"/>
    <col min="16129" max="16129" width="2.7265625" style="411" customWidth="1"/>
    <col min="16130" max="16130" width="17.26953125" style="411" customWidth="1"/>
    <col min="16131" max="16131" width="23.26953125" style="411" customWidth="1"/>
    <col min="16132" max="16133" width="11.453125" style="411" customWidth="1"/>
    <col min="16134" max="16136" width="11.453125" style="411"/>
    <col min="16137" max="16137" width="15.7265625" style="411" customWidth="1"/>
    <col min="16138" max="16384" width="11.453125" style="411"/>
  </cols>
  <sheetData>
    <row r="1" spans="1:11" s="383" customFormat="1" ht="32.25" customHeight="1" x14ac:dyDescent="0.25">
      <c r="A1" s="551"/>
      <c r="B1" s="551"/>
      <c r="C1" s="551"/>
      <c r="D1" s="551"/>
      <c r="E1" s="551"/>
      <c r="F1" s="551"/>
      <c r="G1" s="551"/>
      <c r="I1" s="384"/>
    </row>
    <row r="2" spans="1:11" s="386" customFormat="1" ht="13.15" customHeight="1" x14ac:dyDescent="0.25">
      <c r="A2" s="385"/>
      <c r="G2" s="387" t="s">
        <v>512</v>
      </c>
      <c r="H2" s="388"/>
      <c r="I2" s="388"/>
      <c r="K2" s="384"/>
    </row>
    <row r="3" spans="1:11" s="383" customFormat="1" ht="19.5" customHeight="1" x14ac:dyDescent="0.4">
      <c r="A3" s="389" t="s">
        <v>513</v>
      </c>
      <c r="D3" s="390"/>
    </row>
    <row r="4" spans="1:11" s="386" customFormat="1" ht="19.5" customHeight="1" x14ac:dyDescent="0.25">
      <c r="A4" s="385"/>
      <c r="G4" s="391"/>
      <c r="H4" s="388"/>
      <c r="I4" s="388"/>
    </row>
    <row r="5" spans="1:11" s="386" customFormat="1" ht="13.15" customHeight="1" x14ac:dyDescent="0.25">
      <c r="A5" s="385"/>
      <c r="G5" s="391"/>
      <c r="H5" s="388"/>
      <c r="I5" s="388"/>
    </row>
    <row r="6" spans="1:11" s="386" customFormat="1" ht="13.15" customHeight="1" x14ac:dyDescent="0.3">
      <c r="A6" s="552" t="s">
        <v>514</v>
      </c>
      <c r="B6" s="553"/>
      <c r="C6" s="553"/>
      <c r="D6" s="553"/>
      <c r="E6" s="553"/>
      <c r="F6" s="552"/>
      <c r="G6" s="552"/>
      <c r="H6" s="388"/>
      <c r="I6" s="388"/>
    </row>
    <row r="7" spans="1:11" s="386" customFormat="1" ht="13.15" customHeight="1" x14ac:dyDescent="0.25">
      <c r="A7" s="385"/>
      <c r="G7" s="391"/>
      <c r="H7" s="388"/>
      <c r="I7" s="388"/>
    </row>
    <row r="8" spans="1:11" s="391" customFormat="1" ht="13.15" customHeight="1" x14ac:dyDescent="0.3">
      <c r="B8" s="392" t="s">
        <v>515</v>
      </c>
      <c r="C8" s="393"/>
      <c r="D8" s="393"/>
      <c r="E8" s="394"/>
      <c r="F8" s="395"/>
      <c r="G8" s="395"/>
      <c r="H8" s="388"/>
      <c r="I8" s="388"/>
    </row>
    <row r="9" spans="1:11" s="391" customFormat="1" ht="13.15" customHeight="1" x14ac:dyDescent="0.25">
      <c r="A9" s="396"/>
      <c r="B9" s="548" t="s">
        <v>516</v>
      </c>
      <c r="C9" s="548"/>
      <c r="D9" s="554"/>
      <c r="E9" s="397"/>
      <c r="F9" s="397"/>
      <c r="H9" s="388"/>
      <c r="I9" s="388"/>
    </row>
    <row r="10" spans="1:11" s="391" customFormat="1" ht="13.15" customHeight="1" x14ac:dyDescent="0.25">
      <c r="A10" s="396"/>
      <c r="B10" s="555" t="s">
        <v>517</v>
      </c>
      <c r="C10" s="555"/>
      <c r="D10" s="398"/>
      <c r="E10" s="399"/>
      <c r="G10" s="400"/>
      <c r="H10" s="388"/>
      <c r="I10" s="388"/>
    </row>
    <row r="11" spans="1:11" s="391" customFormat="1" ht="13.15" customHeight="1" x14ac:dyDescent="0.25">
      <c r="A11" s="396"/>
      <c r="B11" s="547" t="s">
        <v>518</v>
      </c>
      <c r="C11" s="548"/>
      <c r="D11" s="398"/>
      <c r="E11" s="399"/>
      <c r="G11" s="400"/>
      <c r="H11" s="401"/>
      <c r="I11" s="401"/>
    </row>
    <row r="12" spans="1:11" s="391" customFormat="1" ht="13.15" customHeight="1" x14ac:dyDescent="0.25">
      <c r="A12" s="396"/>
      <c r="B12" s="542" t="s">
        <v>519</v>
      </c>
      <c r="C12" s="542"/>
      <c r="D12" s="398"/>
      <c r="E12" s="399"/>
      <c r="G12" s="400"/>
      <c r="H12" s="401"/>
      <c r="I12" s="401"/>
    </row>
    <row r="13" spans="1:11" s="391" customFormat="1" ht="13.15" customHeight="1" x14ac:dyDescent="0.25">
      <c r="A13" s="396"/>
      <c r="B13" s="542" t="s">
        <v>520</v>
      </c>
      <c r="C13" s="542"/>
      <c r="D13" s="398"/>
      <c r="E13" s="399"/>
      <c r="G13" s="400"/>
    </row>
    <row r="14" spans="1:11" s="391" customFormat="1" ht="13.15" customHeight="1" x14ac:dyDescent="0.25">
      <c r="A14" s="396"/>
      <c r="B14" s="542" t="s">
        <v>521</v>
      </c>
      <c r="C14" s="542"/>
      <c r="D14" s="398"/>
      <c r="E14" s="399"/>
      <c r="G14" s="400"/>
    </row>
    <row r="15" spans="1:11" s="391" customFormat="1" ht="13.15" customHeight="1" x14ac:dyDescent="0.25">
      <c r="A15" s="396"/>
      <c r="B15" s="542" t="s">
        <v>522</v>
      </c>
      <c r="C15" s="542"/>
      <c r="D15" s="398"/>
      <c r="E15" s="399"/>
      <c r="G15" s="400"/>
    </row>
    <row r="16" spans="1:11" s="391" customFormat="1" ht="13.15" customHeight="1" x14ac:dyDescent="0.25">
      <c r="A16" s="396"/>
      <c r="B16" s="550" t="s">
        <v>523</v>
      </c>
      <c r="C16" s="550"/>
      <c r="D16" s="398"/>
      <c r="E16" s="399"/>
      <c r="G16" s="400"/>
    </row>
    <row r="17" spans="1:7" s="391" customFormat="1" ht="13.15" customHeight="1" x14ac:dyDescent="0.25">
      <c r="A17" s="396"/>
      <c r="B17" s="550"/>
      <c r="C17" s="550"/>
      <c r="D17" s="398"/>
      <c r="E17" s="399"/>
      <c r="G17" s="400"/>
    </row>
    <row r="18" spans="1:7" s="391" customFormat="1" ht="13.15" customHeight="1" x14ac:dyDescent="0.25">
      <c r="B18" s="392" t="s">
        <v>524</v>
      </c>
      <c r="C18" s="402"/>
      <c r="D18" s="398"/>
      <c r="E18" s="399"/>
      <c r="G18" s="400"/>
    </row>
    <row r="19" spans="1:7" s="391" customFormat="1" ht="13.15" customHeight="1" x14ac:dyDescent="0.25">
      <c r="A19" s="396"/>
      <c r="B19" s="547" t="s">
        <v>525</v>
      </c>
      <c r="C19" s="548"/>
      <c r="D19" s="398"/>
      <c r="E19" s="399"/>
      <c r="G19" s="400"/>
    </row>
    <row r="20" spans="1:7" s="391" customFormat="1" ht="13.15" customHeight="1" x14ac:dyDescent="0.25">
      <c r="A20" s="396"/>
      <c r="B20" s="550" t="s">
        <v>526</v>
      </c>
      <c r="C20" s="550"/>
      <c r="D20" s="398"/>
      <c r="E20" s="399"/>
      <c r="G20" s="400"/>
    </row>
    <row r="21" spans="1:7" s="391" customFormat="1" ht="13.15" customHeight="1" x14ac:dyDescent="0.25">
      <c r="A21" s="396"/>
      <c r="B21" s="542" t="s">
        <v>527</v>
      </c>
      <c r="C21" s="542"/>
      <c r="D21" s="398"/>
      <c r="E21" s="399"/>
      <c r="G21" s="400"/>
    </row>
    <row r="22" spans="1:7" s="391" customFormat="1" ht="13.15" customHeight="1" x14ac:dyDescent="0.25">
      <c r="A22" s="396"/>
      <c r="B22" s="542" t="s">
        <v>528</v>
      </c>
      <c r="C22" s="542"/>
      <c r="D22" s="398"/>
      <c r="E22" s="399"/>
      <c r="G22" s="400"/>
    </row>
    <row r="23" spans="1:7" s="391" customFormat="1" ht="13.15" customHeight="1" x14ac:dyDescent="0.25">
      <c r="A23" s="396"/>
      <c r="B23" s="542" t="s">
        <v>529</v>
      </c>
      <c r="C23" s="542"/>
      <c r="D23" s="398"/>
      <c r="E23" s="399"/>
      <c r="G23" s="400"/>
    </row>
    <row r="24" spans="1:7" s="391" customFormat="1" ht="13.15" customHeight="1" x14ac:dyDescent="0.25">
      <c r="A24" s="396"/>
      <c r="B24" s="542" t="s">
        <v>530</v>
      </c>
      <c r="C24" s="542"/>
      <c r="D24" s="398"/>
      <c r="E24" s="399"/>
      <c r="G24" s="400"/>
    </row>
    <row r="25" spans="1:7" s="391" customFormat="1" ht="13.15" customHeight="1" x14ac:dyDescent="0.25">
      <c r="A25" s="396"/>
      <c r="B25" s="542" t="s">
        <v>531</v>
      </c>
      <c r="C25" s="542"/>
      <c r="D25" s="398"/>
      <c r="E25" s="399"/>
      <c r="G25" s="386"/>
    </row>
    <row r="26" spans="1:7" s="391" customFormat="1" ht="13.15" customHeight="1" x14ac:dyDescent="0.25">
      <c r="A26" s="396"/>
      <c r="B26" s="547" t="s">
        <v>532</v>
      </c>
      <c r="C26" s="548"/>
      <c r="D26" s="398"/>
      <c r="E26" s="399"/>
      <c r="G26" s="386"/>
    </row>
    <row r="27" spans="1:7" s="386" customFormat="1" ht="13.15" customHeight="1" x14ac:dyDescent="0.25">
      <c r="A27" s="403" t="s">
        <v>533</v>
      </c>
      <c r="B27" s="547" t="s">
        <v>533</v>
      </c>
      <c r="C27" s="548"/>
      <c r="D27" s="398"/>
      <c r="E27" s="399"/>
      <c r="F27" s="391"/>
    </row>
    <row r="28" spans="1:7" s="386" customFormat="1" ht="13.15" customHeight="1" x14ac:dyDescent="0.25">
      <c r="A28" s="396"/>
      <c r="B28" s="547" t="s">
        <v>534</v>
      </c>
      <c r="C28" s="548"/>
      <c r="D28" s="398"/>
      <c r="E28" s="399"/>
      <c r="F28" s="391"/>
    </row>
    <row r="29" spans="1:7" s="386" customFormat="1" ht="13.15" customHeight="1" x14ac:dyDescent="0.25">
      <c r="A29" s="396"/>
      <c r="B29" s="542" t="s">
        <v>535</v>
      </c>
      <c r="C29" s="549"/>
      <c r="D29" s="398"/>
      <c r="E29" s="399"/>
    </row>
    <row r="30" spans="1:7" s="386" customFormat="1" ht="13.15" customHeight="1" x14ac:dyDescent="0.25">
      <c r="A30" s="396"/>
      <c r="B30" s="542" t="s">
        <v>536</v>
      </c>
      <c r="C30" s="542"/>
      <c r="D30" s="398"/>
      <c r="E30" s="399"/>
    </row>
    <row r="31" spans="1:7" s="386" customFormat="1" ht="13.15" customHeight="1" x14ac:dyDescent="0.25">
      <c r="A31" s="396"/>
      <c r="B31" s="542" t="s">
        <v>537</v>
      </c>
      <c r="C31" s="542"/>
      <c r="D31" s="398"/>
      <c r="E31" s="399"/>
    </row>
    <row r="32" spans="1:7" s="386" customFormat="1" ht="13.15" customHeight="1" x14ac:dyDescent="0.25">
      <c r="A32" s="396"/>
      <c r="B32" s="404" t="s">
        <v>538</v>
      </c>
      <c r="C32" s="404"/>
      <c r="D32" s="398"/>
      <c r="E32" s="399"/>
    </row>
    <row r="33" spans="1:7" s="386" customFormat="1" ht="13.15" customHeight="1" x14ac:dyDescent="0.25">
      <c r="A33" s="396"/>
      <c r="B33" s="542" t="s">
        <v>539</v>
      </c>
      <c r="C33" s="542"/>
      <c r="D33" s="398"/>
      <c r="E33" s="399"/>
    </row>
    <row r="34" spans="1:7" s="386" customFormat="1" ht="13.15" customHeight="1" x14ac:dyDescent="0.25">
      <c r="A34" s="396"/>
      <c r="B34" s="542" t="s">
        <v>540</v>
      </c>
      <c r="C34" s="542"/>
      <c r="D34" s="398"/>
      <c r="E34" s="399"/>
    </row>
    <row r="35" spans="1:7" s="386" customFormat="1" ht="13.15" customHeight="1" x14ac:dyDescent="0.25">
      <c r="A35" s="396"/>
      <c r="B35" s="542" t="s">
        <v>541</v>
      </c>
      <c r="C35" s="542"/>
      <c r="D35" s="398"/>
      <c r="E35" s="399"/>
    </row>
    <row r="36" spans="1:7" s="386" customFormat="1" ht="13.15" customHeight="1" x14ac:dyDescent="0.25">
      <c r="A36" s="396"/>
      <c r="B36" s="405"/>
      <c r="C36" s="406"/>
      <c r="D36" s="398"/>
      <c r="E36" s="399"/>
    </row>
    <row r="37" spans="1:7" s="391" customFormat="1" ht="13.15" customHeight="1" x14ac:dyDescent="0.25">
      <c r="A37" s="543" t="s">
        <v>542</v>
      </c>
      <c r="B37" s="544"/>
      <c r="C37" s="544"/>
      <c r="D37" s="544"/>
      <c r="E37" s="544"/>
      <c r="F37" s="407"/>
      <c r="G37" s="407"/>
    </row>
    <row r="38" spans="1:7" ht="13.15" customHeight="1" x14ac:dyDescent="0.3">
      <c r="A38" s="408"/>
      <c r="B38" s="409"/>
      <c r="C38" s="409"/>
      <c r="D38" s="410"/>
      <c r="E38" s="410"/>
      <c r="F38" s="410"/>
      <c r="G38" s="410"/>
    </row>
    <row r="39" spans="1:7" ht="13.15" customHeight="1" x14ac:dyDescent="0.25">
      <c r="A39" s="541" t="s">
        <v>543</v>
      </c>
      <c r="B39" s="541"/>
      <c r="C39" s="541"/>
      <c r="D39" s="541"/>
      <c r="E39" s="541"/>
      <c r="F39" s="541"/>
      <c r="G39" s="541"/>
    </row>
    <row r="40" spans="1:7" ht="13.15" customHeight="1" x14ac:dyDescent="0.25">
      <c r="A40" s="396"/>
      <c r="B40" s="412"/>
      <c r="C40" s="412"/>
      <c r="D40" s="398"/>
      <c r="E40" s="399"/>
      <c r="F40" s="386"/>
      <c r="G40" s="386"/>
    </row>
    <row r="41" spans="1:7" ht="13.15" customHeight="1" x14ac:dyDescent="0.25">
      <c r="A41" s="545" t="s">
        <v>544</v>
      </c>
      <c r="B41" s="545"/>
      <c r="C41" s="545"/>
      <c r="D41" s="545"/>
      <c r="E41" s="545"/>
      <c r="F41" s="546"/>
      <c r="G41" s="546"/>
    </row>
    <row r="42" spans="1:7" ht="13.15" customHeight="1" x14ac:dyDescent="0.25">
      <c r="A42" s="546"/>
      <c r="B42" s="546"/>
      <c r="C42" s="546"/>
      <c r="D42" s="546"/>
      <c r="E42" s="546"/>
      <c r="F42" s="546"/>
      <c r="G42" s="546"/>
    </row>
    <row r="43" spans="1:7" ht="13.15" customHeight="1" x14ac:dyDescent="0.25">
      <c r="A43" s="413"/>
      <c r="B43" s="413"/>
      <c r="C43" s="413"/>
      <c r="D43" s="413"/>
      <c r="E43" s="413"/>
    </row>
    <row r="44" spans="1:7" ht="13.15" customHeight="1" x14ac:dyDescent="0.25">
      <c r="A44" s="540" t="s">
        <v>545</v>
      </c>
      <c r="B44" s="540"/>
      <c r="C44" s="540"/>
      <c r="D44" s="540"/>
      <c r="E44" s="540"/>
      <c r="F44" s="540"/>
      <c r="G44" s="540"/>
    </row>
    <row r="45" spans="1:7" ht="13.15" customHeight="1" x14ac:dyDescent="0.25">
      <c r="A45" s="541" t="s">
        <v>546</v>
      </c>
      <c r="B45" s="541"/>
      <c r="C45" s="414" t="s">
        <v>547</v>
      </c>
      <c r="D45" s="414"/>
      <c r="E45" s="414"/>
      <c r="F45" s="414"/>
      <c r="G45" s="414"/>
    </row>
    <row r="46" spans="1:7" ht="13.15" customHeight="1" x14ac:dyDescent="0.25"/>
    <row r="47" spans="1:7" ht="13.15" customHeight="1" x14ac:dyDescent="0.25"/>
    <row r="48" spans="1:7" ht="13.15" customHeight="1" x14ac:dyDescent="0.25"/>
    <row r="49" ht="13.15" customHeight="1" x14ac:dyDescent="0.25"/>
    <row r="50" ht="13.15" customHeight="1" x14ac:dyDescent="0.25"/>
    <row r="51" ht="13.15" customHeight="1" x14ac:dyDescent="0.25"/>
    <row r="52" ht="13.15" customHeight="1" x14ac:dyDescent="0.25"/>
    <row r="53" ht="13.15" customHeight="1" x14ac:dyDescent="0.25"/>
    <row r="54" ht="13.15" customHeight="1" x14ac:dyDescent="0.25"/>
    <row r="55" ht="13.15" customHeight="1" x14ac:dyDescent="0.25"/>
    <row r="56" ht="13.15" customHeight="1" x14ac:dyDescent="0.25"/>
    <row r="57" ht="13.15" customHeight="1" x14ac:dyDescent="0.25"/>
    <row r="58" ht="13.15" customHeight="1" x14ac:dyDescent="0.25"/>
    <row r="59" ht="13.15" customHeight="1" x14ac:dyDescent="0.25"/>
    <row r="60" ht="13.15" customHeight="1" x14ac:dyDescent="0.25"/>
    <row r="61" ht="13.15" customHeight="1" x14ac:dyDescent="0.25"/>
    <row r="62" ht="13.15" customHeight="1" x14ac:dyDescent="0.25"/>
    <row r="63" ht="13.15" customHeight="1" x14ac:dyDescent="0.25"/>
  </sheetData>
  <mergeCells count="32">
    <mergeCell ref="B19:C19"/>
    <mergeCell ref="A1:G1"/>
    <mergeCell ref="A6:G6"/>
    <mergeCell ref="B9:D9"/>
    <mergeCell ref="B10:C10"/>
    <mergeCell ref="B11:C11"/>
    <mergeCell ref="B12:C12"/>
    <mergeCell ref="B13:C13"/>
    <mergeCell ref="B14:C14"/>
    <mergeCell ref="B15:C15"/>
    <mergeCell ref="B16:C16"/>
    <mergeCell ref="B17:C17"/>
    <mergeCell ref="B31:C31"/>
    <mergeCell ref="B20:C20"/>
    <mergeCell ref="B21:C21"/>
    <mergeCell ref="B22:C22"/>
    <mergeCell ref="B23:C23"/>
    <mergeCell ref="B24:C24"/>
    <mergeCell ref="B25:C25"/>
    <mergeCell ref="B26:C26"/>
    <mergeCell ref="B27:C27"/>
    <mergeCell ref="B28:C28"/>
    <mergeCell ref="B29:C29"/>
    <mergeCell ref="B30:C30"/>
    <mergeCell ref="A44:G44"/>
    <mergeCell ref="A45:B45"/>
    <mergeCell ref="B33:C33"/>
    <mergeCell ref="B34:C34"/>
    <mergeCell ref="B35:C35"/>
    <mergeCell ref="A37:E37"/>
    <mergeCell ref="A39:G39"/>
    <mergeCell ref="A41:G42"/>
  </mergeCells>
  <hyperlinks>
    <hyperlink ref="A41:E42" r:id="rId1" display="Das Glossar enthält Erläuterungen zu allen statistisch relevanten Begriffen, die in den verschiedenen Produkten der Statistik der BA verwendung finden." xr:uid="{3FB3F3B5-91B3-4BE2-ABEB-35F2CF3DE4DE}"/>
    <hyperlink ref="A41:G42" r:id="rId2" display="Das Glossar enthält Erläuterungen zu allen statistisch relevanten Begriffen, die in den verschiedenen Produkten der Statistik der BA Verwendung finden." xr:uid="{D7D3F526-545A-4C9B-A9CA-FEEE7FC491D7}"/>
    <hyperlink ref="A45:B45" r:id="rId3" display="Abkürzungsverzeichnis" xr:uid="{FD0D882B-6F08-4A86-A952-EFED453018BD}"/>
    <hyperlink ref="C45" r:id="rId4" xr:uid="{A0D25763-3C5F-41F9-AE77-DA1283ABFA0F}"/>
    <hyperlink ref="A39:G39" r:id="rId5" display="Die Qualitätsberichte der Statistik erläutern die Entstehung und Aussagekraft der jeweiligen Fachstatistik." xr:uid="{C888B963-DEDF-4925-B772-BB9AA5E59266}"/>
    <hyperlink ref="B9:D9" r:id="rId6" display="Arbeitsuche, Arbeitslosigkeit und Unterbeschäftigung" xr:uid="{A0C14C88-1309-4109-A1E5-0833E7017386}"/>
    <hyperlink ref="B10:C10" r:id="rId7" display="Ausbildungsmarkt" xr:uid="{1E2A7314-887D-4CAE-8F76-6AFFAFCBA561}"/>
    <hyperlink ref="B11:C11" r:id="rId8" display="Beschäftigung" xr:uid="{A978CE8A-E7AB-4D65-B870-28F6EA4524BC}"/>
    <hyperlink ref="B12:C12" r:id="rId9" display="Einnahmen/Ausgaben" xr:uid="{93F18B0A-9C08-454A-B00B-64C4B153CFA8}"/>
    <hyperlink ref="B13:C13" r:id="rId10" display="Förderung und berufliche Rehabilitation" xr:uid="{C2E5360F-4B0B-4C5C-9057-24E870E9D13E}"/>
    <hyperlink ref="B14:C14" r:id="rId11" display="Gemeldete Arbeitsstellen" xr:uid="{D1221532-18CE-43B9-A065-DB50D031F0E9}"/>
    <hyperlink ref="B15:C15" r:id="rId12" display="Grundsicherung für Arbeitsuchende (SGB II)" xr:uid="{A496C456-3C9E-49F9-AF37-05F4235E0C62}"/>
    <hyperlink ref="B16:C16" r:id="rId13" display="Leistungen SGB III" xr:uid="{CFA01444-2BFB-4C0A-B5A9-8E875EF7661E}"/>
    <hyperlink ref="B19:C19" r:id="rId14" display="Berufe" xr:uid="{C30BBEE5-AF62-4AEE-AD31-2EC7A326E66B}"/>
    <hyperlink ref="B20:C20" r:id="rId15" display="Bildung" xr:uid="{B07950D9-02BA-46B9-9E3E-67BA85EC3B14}"/>
    <hyperlink ref="B21:C21" r:id="rId16" display="Demografie" xr:uid="{4C7E5596-DD0A-4F9D-A47B-9C0258FAC8CC}"/>
    <hyperlink ref="B22:C22" r:id="rId17" display="Eingliederungsbilanzen" xr:uid="{75A5BA15-FFA8-4D90-BC82-3727AAAB5936}"/>
    <hyperlink ref="B23:C23" r:id="rId18" display="Entgelt" xr:uid="{06E880D0-0259-43F2-89DB-6126D039B7B7}"/>
    <hyperlink ref="B24:C24" r:id="rId19" display="Fachkräftebedarf" xr:uid="{3126D3F7-D57E-42DE-AA2E-1BDC33F5D7A4}"/>
    <hyperlink ref="B25:C25" r:id="rId20" display="Familien und Kinder" xr:uid="{C3CB7BAA-E12D-46F4-9C63-01BB551AA28C}"/>
    <hyperlink ref="B26:C26" r:id="rId21" display="Frauen und Männer" xr:uid="{CF27E5D2-AAC3-4E58-879D-3EACEA82AD4C}"/>
    <hyperlink ref="B28:C28" r:id="rId22" display="Langzeitarbeitslosigkeit" xr:uid="{F00E1341-72A9-4996-88EE-05A55DAF11B3}"/>
    <hyperlink ref="B29:C29" r:id="rId23" display="Menschen mit Behinderungen" xr:uid="{B76E7520-1850-439E-911F-F6C7BB56455E}"/>
    <hyperlink ref="B30:C30" r:id="rId24" display="Migration" xr:uid="{8550E81D-59DF-4869-945B-887EF797D36A}"/>
    <hyperlink ref="B31:C31" r:id="rId25" display="Regionale Mobilität" xr:uid="{904390E6-7B8D-47AF-9629-4B739236DC37}"/>
    <hyperlink ref="B34:C34" r:id="rId26" display="Wirtschaftszweige" xr:uid="{9DFE0711-BC4F-40D8-8D4D-DDB0F2D29267}"/>
    <hyperlink ref="B35:C35" r:id="rId27" display="Zeitarbeit" xr:uid="{92298FDB-7959-4CB9-B0B3-AB62E5AC2A1C}"/>
    <hyperlink ref="A27" r:id="rId28" tooltip="Jüngere" display="https://statistik.arbeitsagentur.de/DE/Navigation/Statistiken/Themen-im-Fokus/Juengere/Juengere-Nav.html?mtm_campaign=Bericht" xr:uid="{466A6422-F00A-4B5A-B915-23E1CB616E9B}"/>
    <hyperlink ref="B27:C27" r:id="rId29" display="Jüngere" xr:uid="{4AF2475E-2078-42FF-A982-51AD47AA5DA0}"/>
    <hyperlink ref="B33:C33" r:id="rId30" display="Ukraine-Krieg" xr:uid="{FA31711E-3450-4257-A962-E3531D1CC5F6}"/>
    <hyperlink ref="A37:E37" r:id="rId31" display="Die Methodischen Hinweise der Statistik bieten ergänzende Informationen." xr:uid="{E9B5594F-55DB-44E3-9CD5-E432F214D9C5}"/>
    <hyperlink ref="B32" r:id="rId32" xr:uid="{F13B985D-7763-40DA-9370-CCA85CB1A5A6}"/>
  </hyperlinks>
  <printOptions horizontalCentered="1"/>
  <pageMargins left="0.70866141732283472" right="0.39370078740157483" top="0.39370078740157483" bottom="0.59055118110236227" header="0.39370078740157483" footer="0.39370078740157483"/>
  <pageSetup paperSize="9" fitToWidth="0" orientation="portrait" r:id="rId33"/>
  <headerFooter alignWithMargins="0"/>
  <drawing r:id="rId3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7D52C4AE2A6447A549A06FDBCFB109" ma:contentTypeVersion="6" ma:contentTypeDescription="Ein neues Dokument erstellen." ma:contentTypeScope="" ma:versionID="7700f49814e1cdc3d82acfb1597c06a8">
  <xsd:schema xmlns:xsd="http://www.w3.org/2001/XMLSchema" xmlns:xs="http://www.w3.org/2001/XMLSchema" xmlns:p="http://schemas.microsoft.com/office/2006/metadata/properties" xmlns:ns2="5bbd7974-f77f-4bf2-8d8b-ed6338086b45" xmlns:ns3="c7535617-51ab-4c42-a646-e620e46efa2e" xmlns:ns4="1aef625a-43db-4b5a-a85c-9bcf63dadc02" targetNamespace="http://schemas.microsoft.com/office/2006/metadata/properties" ma:root="true" ma:fieldsID="3d9afc9b4d564d9aa42095031f889fae" ns2:_="" ns3:_="" ns4:_="">
    <xsd:import namespace="5bbd7974-f77f-4bf2-8d8b-ed6338086b45"/>
    <xsd:import namespace="c7535617-51ab-4c42-a646-e620e46efa2e"/>
    <xsd:import namespace="1aef625a-43db-4b5a-a85c-9bcf63dadc02"/>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4:lcf76f155ced4ddcb4097134ff3c332f"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bd7974-f77f-4bf2-8d8b-ed6338086b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7535617-51ab-4c42-a646-e620e46efa2e" elementFormDefault="qualified">
    <xsd:import namespace="http://schemas.microsoft.com/office/2006/documentManagement/types"/>
    <xsd:import namespace="http://schemas.microsoft.com/office/infopath/2007/PartnerControls"/>
    <xsd:element name="SharedWithUsers" ma:index="13"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Freigegeben für -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aef625a-43db-4b5a-a85c-9bcf63dadc02" elementFormDefault="qualified">
    <xsd:import namespace="http://schemas.microsoft.com/office/2006/documentManagement/types"/>
    <xsd:import namespace="http://schemas.microsoft.com/office/infopath/2007/PartnerControls"/>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e960779-f53c-4066-bae5-57e817f9c1ac"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ef625a-43db-4b5a-a85c-9bcf63dadc0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1077798-9F4B-4544-BFD2-6C19CD7F6AE0}"/>
</file>

<file path=customXml/itemProps2.xml><?xml version="1.0" encoding="utf-8"?>
<ds:datastoreItem xmlns:ds="http://schemas.openxmlformats.org/officeDocument/2006/customXml" ds:itemID="{83A68C39-DA8B-429F-83E7-167862BFCC35}"/>
</file>

<file path=customXml/itemProps3.xml><?xml version="1.0" encoding="utf-8"?>
<ds:datastoreItem xmlns:ds="http://schemas.openxmlformats.org/officeDocument/2006/customXml" ds:itemID="{2E9F3CFB-EF97-44A8-B0F2-9C5BAB283516}"/>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26</vt:i4>
      </vt:variant>
      <vt:variant>
        <vt:lpstr>Named Ranges</vt:lpstr>
      </vt:variant>
      <vt:variant>
        <vt:i4>30</vt:i4>
      </vt:variant>
    </vt:vector>
  </HeadingPairs>
  <TitlesOfParts>
    <vt:vector size="56" baseType="lpstr">
      <vt:lpstr>Deckblatt</vt:lpstr>
      <vt:lpstr>Impressum</vt:lpstr>
      <vt:lpstr>Inhaltsverzeichnis</vt:lpstr>
      <vt:lpstr>Tabelle 1</vt:lpstr>
      <vt:lpstr>Diagramm</vt:lpstr>
      <vt:lpstr>Tabelle 2.1</vt:lpstr>
      <vt:lpstr>Tabelle 2.2</vt:lpstr>
      <vt:lpstr>Tabelle 2.3</vt:lpstr>
      <vt:lpstr>Tabelle 2.4</vt:lpstr>
      <vt:lpstr>Tabelle 3.1</vt:lpstr>
      <vt:lpstr>Tabelle 3.2</vt:lpstr>
      <vt:lpstr>Tabelle 3.3</vt:lpstr>
      <vt:lpstr>Tabelle 3.4</vt:lpstr>
      <vt:lpstr>Tabelle 4.1</vt:lpstr>
      <vt:lpstr>Tabelle 4.2</vt:lpstr>
      <vt:lpstr>Tabelle 4.3</vt:lpstr>
      <vt:lpstr>Tabelle 5.1</vt:lpstr>
      <vt:lpstr>Tabelle 5.2</vt:lpstr>
      <vt:lpstr>Tabelle 6</vt:lpstr>
      <vt:lpstr>Hinweis - Berufsaggregate</vt:lpstr>
      <vt:lpstr>Hinweis_Befristung</vt:lpstr>
      <vt:lpstr>Hinweis_beg_been_BV</vt:lpstr>
      <vt:lpstr>Hinweise_BST-Revisionen</vt:lpstr>
      <vt:lpstr>Hinweise_SvB_GB</vt:lpstr>
      <vt:lpstr>Daten_Diagramme</vt:lpstr>
      <vt:lpstr>Statistik-Infoseite</vt:lpstr>
      <vt:lpstr>Deckblatt!Print_Area</vt:lpstr>
      <vt:lpstr>Diagramm!Print_Area</vt:lpstr>
      <vt:lpstr>'Hinweis - Berufsaggregate'!Print_Area</vt:lpstr>
      <vt:lpstr>Hinweis_beg_been_BV!Print_Area</vt:lpstr>
      <vt:lpstr>'Hinweise_BST-Revisionen'!Print_Area</vt:lpstr>
      <vt:lpstr>Hinweise_SvB_GB!Print_Area</vt:lpstr>
      <vt:lpstr>Inhaltsverzeichnis!Print_Area</vt:lpstr>
      <vt:lpstr>'Tabelle 1'!Print_Area</vt:lpstr>
      <vt:lpstr>'Tabelle 2.1'!Print_Area</vt:lpstr>
      <vt:lpstr>'Tabelle 2.2'!Print_Area</vt:lpstr>
      <vt:lpstr>'Tabelle 2.3'!Print_Area</vt:lpstr>
      <vt:lpstr>'Tabelle 2.4'!Print_Area</vt:lpstr>
      <vt:lpstr>'Tabelle 3.1'!Print_Area</vt:lpstr>
      <vt:lpstr>'Tabelle 3.2'!Print_Area</vt:lpstr>
      <vt:lpstr>'Tabelle 3.3'!Print_Area</vt:lpstr>
      <vt:lpstr>'Tabelle 3.4'!Print_Area</vt:lpstr>
      <vt:lpstr>'Tabelle 4.1'!Print_Area</vt:lpstr>
      <vt:lpstr>'Tabelle 4.2'!Print_Area</vt:lpstr>
      <vt:lpstr>'Tabelle 4.3'!Print_Area</vt:lpstr>
      <vt:lpstr>'Tabelle 5.1'!Print_Area</vt:lpstr>
      <vt:lpstr>'Tabelle 5.2'!Print_Area</vt:lpstr>
      <vt:lpstr>'Tabelle 6'!Print_Area</vt:lpstr>
      <vt:lpstr>'Hinweis - Berufsaggregate'!Print_Titles</vt:lpstr>
      <vt:lpstr>Hinweis_beg_been_BV!Print_Titles</vt:lpstr>
      <vt:lpstr>Hinweise_SvB_GB!Print_Titles</vt:lpstr>
      <vt:lpstr>'Tabelle 2.2'!Print_Titles</vt:lpstr>
      <vt:lpstr>'Tabelle 2.4'!Print_Titles</vt:lpstr>
      <vt:lpstr>'Tabelle 3.4'!Print_Titles</vt:lpstr>
      <vt:lpstr>'Tabelle 4.3'!Print_Titles</vt:lpstr>
      <vt:lpstr>'Tabelle 5.2'!Print_Titles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2025-12-18T04:22:45Z</dcterms:created>
  <dcterms:modified xsi:type="dcterms:W3CDTF">2026-07-10T07:47:18Z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0x010100907D52C4AE2A6447A549A06FDBCFB109</vt:lpwstr>
  </property>
</Properties>
</file>